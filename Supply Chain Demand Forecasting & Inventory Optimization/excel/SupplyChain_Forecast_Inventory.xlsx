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Demand_Forecast" sheetId="2" state="visible" r:id="rId4"/>
    <sheet name="Inventory_Optimization" sheetId="3" state="visible" r:id="rId5"/>
    <sheet name="Stock_Health" sheetId="4" state="visible" r:id="rId6"/>
    <sheet name="Accuracy_Summary" sheetId="5" state="visible" r:id="rId7"/>
    <sheet name="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<sst xmlns="http://schemas.openxmlformats.org/spreadsheetml/2006/main" count="334" uniqueCount="142">
  <si>
    <t xml:space="preserve">SUPPLY CHAIN DEMAND FORECASTING – RAW SALES DATA (FY2024)</t>
  </si>
  <si>
    <t xml:space="preserve">Monthly units sold across 5 product categories  |  Mousumi Paul | Feb 2025</t>
  </si>
  <si>
    <t xml:space="preserve">Product Category</t>
  </si>
  <si>
    <t xml:space="preserve">ID</t>
  </si>
  <si>
    <t xml:space="preserve">Jan-24</t>
  </si>
  <si>
    <t xml:space="preserve">Feb-24</t>
  </si>
  <si>
    <t xml:space="preserve">Mar-24</t>
  </si>
  <si>
    <t xml:space="preserve">Apr-24</t>
  </si>
  <si>
    <t xml:space="preserve">May-24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</si>
  <si>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</si>
  <si>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</si>
  <si>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</si>
  <si>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</si>
  <si>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</si>
  <si>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</si>
  <si>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</si>
  <si>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Annual Total</t>
  </si>
  <si>
    <t xml:space="preserve">Electronics</t>
  </si>
  <si>
    <t xml:space="preserve">P01</t>
  </si>
  <si>
    <t xml:space="preserve">Apparel</t>
  </si>
  <si>
    <t xml:space="preserve">P02</t>
  </si>
  <si>
    <t xml:space="preserve">Home &amp; Kitchen</t>
  </si>
  <si>
    <t xml:space="preserve">P03</t>
  </si>
  <si>
    <t xml:space="preserve">Sports &amp; Outdoors</t>
  </si>
  <si>
    <t xml:space="preserve">P04</t>
  </si>
  <si>
    <t xml:space="preserve">Beauty &amp; Health</t>
  </si>
  <si>
    <t xml:space="preserve">P05</t>
  </si>
  <si>
    <t xml:space="preserve">  MONTHLY TOTAL</t>
  </si>
  <si>
    <t xml:space="preserve">  TOTAL MoM GROWTH %</t>
  </si>
  <si>
    <t xml:space="preserve">—</t>
  </si>
  <si>
    <t xml:space="preserve">DEMAND FORECASTING MODEL – MOVING AVERAGES &amp; EXPONENTIAL SMOOTHING</t>
  </si>
  <si>
    <t xml:space="preserve">3-month MA | 6-month MA | Exponential Smoothing (α=0.3)  |  Forecast Months: Jan–Mar 2025</t>
  </si>
  <si>
    <t xml:space="preserve">  MODEL ASSUMPTIONS  (Blue = editable inputs)</t>
  </si>
  <si>
    <t xml:space="preserve">Alpha (α) – Exp Smoothing:</t>
  </si>
  <si>
    <t xml:space="preserve">MA Short Window:</t>
  </si>
  <si>
    <t xml:space="preserve">MA Long Window:</t>
  </si>
  <si>
    <t xml:space="preserve">Forecast Horizon:</t>
  </si>
  <si>
    <t xml:space="preserve">0–1; higher = more weight on recent</t>
  </si>
  <si>
    <t xml:space="preserve">Months for short MA</t>
  </si>
  <si>
    <t xml:space="preserve">Months for long MA</t>
  </si>
  <si>
    <t xml:space="preserve">Months ahead to forecast</t>
  </si>
  <si>
    <t xml:space="preserve">  Electronics  (P01)</t>
  </si>
  <si>
    <t xml:space="preserve">Metric</t>
  </si>
  <si>
    <t xml:space="preserve">Jan-25</t>
  </si>
  <si>
    <t xml:space="preserve">Feb-25</t>
  </si>
  <si>
    <t xml:space="preserve">Mar-25</t>
  </si>
  <si>
    <t xml:space="preserve">MAPE</t>
  </si>
  <si>
    <t xml:space="preserve">MAE</t>
  </si>
  <si>
    <t xml:space="preserve">Actual Sales</t>
  </si>
  <si>
    <t xml:space="preserve">3-Month MA</t>
  </si>
  <si>
    <t xml:space="preserve">6-Month MA</t>
  </si>
  <si>
    <t xml:space="preserve">Exp Smooth (α=0.3)</t>
  </si>
  <si>
    <t xml:space="preserve">  Apparel  (P02)</t>
  </si>
  <si>
    <t xml:space="preserve">  Home &amp; Kitchen  (P03)</t>
  </si>
  <si>
    <t xml:space="preserve">  Sports &amp; Outdoors  (P04)</t>
  </si>
  <si>
    <t xml:space="preserve">  Beauty &amp; Health  (P05)</t>
  </si>
  <si>
    <t xml:space="preserve">INVENTORY OPTIMIZATION – EOQ, REORDER POINT &amp; SAFETY STOCK</t>
  </si>
  <si>
    <t xml:space="preserve">Economic Order Quantity | Reorder Point | Safety Stock | Holding Cost Analysis  |  Mousumi Paul</t>
  </si>
  <si>
    <t xml:space="preserve">  INPUT ASSUMPTIONS  (Blue = editable inputs)</t>
  </si>
  <si>
    <t xml:space="preserve">Working Days / Year</t>
  </si>
  <si>
    <t xml:space="preserve">Service Level Z-Score</t>
  </si>
  <si>
    <t xml:space="preserve">Lead Time (days)</t>
  </si>
  <si>
    <t xml:space="preserve">Ordering Cost ₹/order</t>
  </si>
  <si>
    <t xml:space="preserve">Product</t>
  </si>
  <si>
    <t xml:space="preserve">Ann. Demand
(Units)</t>
  </si>
  <si>
    <t xml:space="preserve">Avg Monthly
Demand</t>
  </si>
  <si>
    <t xml:space="preserve">Demand
Std Dev</t>
  </si>
  <si>
    <t xml:space="preserve">Unit Cost
(₹)</t>
  </si>
  <si>
    <t xml:space="preserve">Holding Cost
(₹/unit/yr)</t>
  </si>
  <si>
    <t xml:space="preserve">EOQ
(Units)</t>
  </si>
  <si>
    <t xml:space="preserve">Daily Demand</t>
  </si>
  <si>
    <t xml:space="preserve">Safety Stock
(Units)</t>
  </si>
  <si>
    <t xml:space="preserve">Reorder
Point (Units)</t>
  </si>
  <si>
    <t xml:space="preserve">Annual Hold
Cost (₹)</t>
  </si>
  <si>
    <t xml:space="preserve">Annual Ord
Cost (₹)</t>
  </si>
  <si>
    <t xml:space="preserve">Total Inv
Cost (₹)</t>
  </si>
  <si>
    <t xml:space="preserve">Stock
Status</t>
  </si>
  <si>
    <t xml:space="preserve">TOTAL</t>
  </si>
  <si>
    <t xml:space="preserve">STOCK HEALTH DASHBOARD – LIVE INVENTORY STATUS &amp; ALERTS</t>
  </si>
  <si>
    <t xml:space="preserve">Current stock vs ROP | Days of Supply | Stock-Out Risk | Low-Stock Alerts  |  Mousumi Paul</t>
  </si>
  <si>
    <t xml:space="preserve">Current
Stock (Units)</t>
  </si>
  <si>
    <t xml:space="preserve">Safety
Stock (Units)</t>
  </si>
  <si>
    <t xml:space="preserve">Days of
Supply</t>
  </si>
  <si>
    <t xml:space="preserve">Stock-Out
Risk %</t>
  </si>
  <si>
    <t xml:space="preserve">Excess
Stock</t>
  </si>
  <si>
    <t xml:space="preserve">Holding Cost
Excess (₹)</t>
  </si>
  <si>
    <t xml:space="preserve">Alert
Status</t>
  </si>
  <si>
    <t xml:space="preserve">Recommended
Action</t>
  </si>
  <si>
    <t xml:space="preserve">  SUMMARY KPIs</t>
  </si>
  <si>
    <t xml:space="preserve">Products at Risk (≤ROP)</t>
  </si>
  <si>
    <t xml:space="preserve">Avg Days of Supply</t>
  </si>
  <si>
    <t xml:space="preserve">Total Excess Hold Cost</t>
  </si>
  <si>
    <t xml:space="preserve">FORECAST ACCURACY SUMMARY – MODEL COMPARISON</t>
  </si>
  <si>
    <t xml:space="preserve">MAPE, MAE comparison across models &amp; products  |  Target Accuracy: 88%+</t>
  </si>
  <si>
    <t xml:space="preserve">3-Month MA
MAPE</t>
  </si>
  <si>
    <t xml:space="preserve">6-Month MA
MAPE</t>
  </si>
  <si>
    <t xml:space="preserve">Exp Smooth
MAPE</t>
  </si>
  <si>
    <t xml:space="preserve">Best Model</t>
  </si>
  <si>
    <t xml:space="preserve">Forecast
Accuracy</t>
  </si>
  <si>
    <t xml:space="preserve">Meets Target?</t>
  </si>
  <si>
    <t xml:space="preserve">OVERALL AVERAGE</t>
  </si>
  <si>
    <t xml:space="preserve">MODEL GUIDE, FORMULAS &amp; COLOR LEGEND</t>
  </si>
  <si>
    <t xml:space="preserve">COLOR LEGEND</t>
  </si>
  <si>
    <t xml:space="preserve">Blue text</t>
  </si>
  <si>
    <t xml:space="preserve">Hardcoded inputs — safe to edit for your data</t>
  </si>
  <si>
    <t xml:space="preserve">Black text</t>
  </si>
  <si>
    <t xml:space="preserve">Calculated formulas — do not edit</t>
  </si>
  <si>
    <t xml:space="preserve">Green text</t>
  </si>
  <si>
    <t xml:space="preserve">Cross-sheet links pulling from other tabs</t>
  </si>
  <si>
    <t xml:space="preserve">Yellow background</t>
  </si>
  <si>
    <t xml:space="preserve">Key input cells needing attention</t>
  </si>
  <si>
    <t xml:space="preserve">Teal highlight</t>
  </si>
  <si>
    <t xml:space="preserve">EOQ output cells</t>
  </si>
  <si>
    <t xml:space="preserve">Green highlight</t>
  </si>
  <si>
    <t xml:space="preserve">Safety stock output cells</t>
  </si>
  <si>
    <t xml:space="preserve">Blue highlight</t>
  </si>
  <si>
    <t xml:space="preserve">Reorder point output cells</t>
  </si>
  <si>
    <t xml:space="preserve">Amber highlight</t>
  </si>
  <si>
    <t xml:space="preserve">Forecast months &amp; excess cost flags</t>
  </si>
  <si>
    <t xml:space="preserve">SHEET INDEX</t>
  </si>
  <si>
    <t xml:space="preserve">Sales_Data</t>
  </si>
  <si>
    <t xml:space="preserve">Raw 12-month unit sales for 5 product categories</t>
  </si>
  <si>
    <t xml:space="preserve">Demand_Forecast</t>
  </si>
  <si>
    <t xml:space="preserve">MA (3M, 6M) and Exponential Smoothing forecasts + MAPE</t>
  </si>
  <si>
    <t xml:space="preserve">Inventory_Optimization</t>
  </si>
  <si>
    <t xml:space="preserve">EOQ, Safety Stock, ROP, holding &amp; ordering costs</t>
  </si>
  <si>
    <t xml:space="preserve">Stock_Health</t>
  </si>
  <si>
    <t xml:space="preserve">Live dashboard with alerts and recommended actions</t>
  </si>
  <si>
    <t xml:space="preserve">Accuracy_Summary</t>
  </si>
  <si>
    <t xml:space="preserve">Model comparison: MAPE by product and best-fit model</t>
  </si>
  <si>
    <t xml:space="preserve">KEY FORMULAS</t>
  </si>
  <si>
    <t xml:space="preserve">EOQ</t>
  </si>
  <si>
    <t xml:space="preserve">SQRT(2 × Annual Demand × Ordering Cost / Holding Cost per unit)</t>
  </si>
  <si>
    <t xml:space="preserve">Safety Stock</t>
  </si>
  <si>
    <t xml:space="preserve">Z-score × StdDev(demand) × SQRT(Lead Time / 30 days)</t>
  </si>
  <si>
    <t xml:space="preserve">Reorder Point</t>
  </si>
  <si>
    <t xml:space="preserve">Daily Demand × Lead Time + Safety Stock</t>
  </si>
  <si>
    <t xml:space="preserve">Exp Smoothing</t>
  </si>
  <si>
    <t xml:space="preserve">F_t = α × A_{t-1} + (1-α) × F_{t-1}  where α = B5 in Forecast sheet</t>
  </si>
  <si>
    <t xml:space="preserve">F_t = alpha × A_t-1 + (1-alpha) × F_t-1  where alpha = B5 in Forecast sheet</t>
  </si>
  <si>
    <t xml:space="preserve">Forecast Accuracy</t>
  </si>
  <si>
    <t xml:space="preserve">1 - MAPE  (Target &gt;= 88%)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</si>
</sst>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#,##0.0;\(#,##0.0\);\-"/>
    <numFmt numFmtId="168" formatCode="#,##0.0"/>
    <numFmt numFmtId="169" formatCode="#,##0;\(#,##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A7A6E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E844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D4A017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000000"/>
      </patternFill>
    </fill>
    <fill>
      <patternFill patternType="solid">
        <fgColor rgb="FF2E75B6"/>
        <bgColor rgb="FF4472C4"/>
      </patternFill>
    </fill>
    <fill>
      <patternFill patternType="solid">
        <fgColor rgb="FF1A7A6E"/>
        <bgColor rgb="FF1E8449"/>
      </patternFill>
    </fill>
    <fill>
      <patternFill patternType="solid">
        <fgColor rgb="FFF2F2F2"/>
        <bgColor rgb="FFFFFFFF"/>
      </patternFill>
    </fill>
    <fill>
      <patternFill patternType="solid">
        <fgColor rgb="FFD5F0ED"/>
        <bgColor rgb="FFD5F5E3"/>
      </patternFill>
    </fill>
    <fill>
      <patternFill patternType="solid">
        <fgColor rgb="FFFFFFFF"/>
        <bgColor rgb="FFF2F2F2"/>
      </patternFill>
    </fill>
    <fill>
      <patternFill patternType="solid">
        <fgColor rgb="FF4472C4"/>
        <bgColor rgb="FF4F7CB5"/>
      </patternFill>
    </fill>
    <fill>
      <patternFill patternType="solid">
        <fgColor rgb="FFD6E4F7"/>
        <bgColor rgb="FFD5F0ED"/>
      </patternFill>
    </fill>
    <fill>
      <patternFill patternType="solid">
        <fgColor rgb="FFFFFF00"/>
        <bgColor rgb="FFFFF3CD"/>
      </patternFill>
    </fill>
    <fill>
      <patternFill patternType="solid">
        <fgColor rgb="FF1E8449"/>
        <bgColor rgb="FF1A7A6E"/>
      </patternFill>
    </fill>
    <fill>
      <patternFill patternType="solid">
        <fgColor rgb="FFFFF3CD"/>
        <bgColor rgb="FFF2F2F2"/>
      </patternFill>
    </fill>
    <fill>
      <patternFill patternType="solid">
        <fgColor rgb="FFD5F5E3"/>
        <bgColor rgb="FFD5F0E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7B35"/>
      <rgbColor rgb="FFBDCFA2"/>
      <rgbColor rgb="FF0000FF"/>
      <rgbColor rgb="FFFFFF00"/>
      <rgbColor rgb="FFD29F9E"/>
      <rgbColor rgb="FFB3D1DD"/>
      <rgbColor rgb="FFB36B2D"/>
      <rgbColor rgb="FF4F7CB5"/>
      <rgbColor rgb="FFCAD8B5"/>
      <rgbColor rgb="FF7B9544"/>
      <rgbColor rgb="FFC16361"/>
      <rgbColor rgb="FF1A7A6E"/>
      <rgbColor rgb="FFBFBFBF"/>
      <rgbColor rgb="FF8C8496"/>
      <rgbColor rgb="FFA8ABCB"/>
      <rgbColor rgb="FF993B39"/>
      <rgbColor rgb="FFFFF3CD"/>
      <rgbColor rgb="FFD5F0ED"/>
      <rgbColor rgb="FFF5B99C"/>
      <rgbColor rgb="FFF59A5B"/>
      <rgbColor rgb="FF2E75B6"/>
      <rgbColor rgb="FFC6D0E0"/>
      <rgbColor rgb="FFD6E0C7"/>
      <rgbColor rgb="FFDAB3B3"/>
      <rgbColor rgb="FFF6D5C5"/>
      <rgbColor rgb="FFC5DBE3"/>
      <rgbColor rgb="FFCB8483"/>
      <rgbColor rgb="FFE1C6C6"/>
      <rgbColor rgb="FF37899F"/>
      <rgbColor rgb="FFD9D9D9"/>
      <rgbColor rgb="FF77AECB"/>
      <rgbColor rgb="FFD6E4F7"/>
      <rgbColor rgb="FFD5F5E3"/>
      <rgbColor rgb="FFF2F2F2"/>
      <rgbColor rgb="FFA9C5D8"/>
      <rgbColor rgb="FFF5AB81"/>
      <rgbColor rgb="FFC1B9CE"/>
      <rgbColor rgb="FFF6C7B1"/>
      <rgbColor rgb="FF4472C4"/>
      <rgbColor rgb="FF40A0B9"/>
      <rgbColor rgb="FFA8C379"/>
      <rgbColor rgb="FFD4A017"/>
      <rgbColor rgb="FFEE8D3E"/>
      <rgbColor rgb="FFE08439"/>
      <rgbColor rgb="FF755A95"/>
      <rgbColor rgb="FF8FAE50"/>
      <rgbColor rgb="FF3B6597"/>
      <rgbColor rgb="FF1E8449"/>
      <rgbColor rgb="FFCFCAD8"/>
      <rgbColor rgb="FF595959"/>
      <rgbColor rgb="FFC0392B"/>
      <rgbColor rgb="FFB34643"/>
      <rgbColor rgb="FF654E81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Sales_Data!$C$4</c:f>
              <c:numCache>
                <c:formatCode>#,##0;\(#,##0\);\-</c:formatCode>
                <c:ptCount val="1"/>
                <c:pt idx="0">
                  <c:v>420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1e8449"/>
            </a:solidFill>
            <a:ln w="21960">
              <a:solidFill>
                <a:srgbClr val="1e844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Sales_Data!$D$4</c:f>
              <c:numCache>
                <c:formatCode>#,##0;\(#,##0\);\-</c:formatCode>
                <c:ptCount val="1"/>
                <c:pt idx="0">
                  <c:v>390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1a7a6e"/>
            </a:solidFill>
            <a:ln w="21960">
              <a:solidFill>
                <a:srgbClr val="1a7a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Sales_Data!$E$4</c:f>
              <c:numCache>
                <c:formatCode>#,##0;\(#,##0\);\-</c:formatCode>
                <c:ptCount val="1"/>
                <c:pt idx="0">
                  <c:v>410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d4a017"/>
            </a:solidFill>
            <a:ln w="21960">
              <a:solidFill>
                <a:srgbClr val="d4a01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Sales_Data!$F$4</c:f>
              <c:numCache>
                <c:formatCode>#,##0;\(#,##0\);\-</c:formatCode>
                <c:ptCount val="1"/>
                <c:pt idx="0">
                  <c:v>450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c0392b"/>
            </a:solidFill>
            <a:ln w="219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Sales_Data!$G$4</c:f>
              <c:numCache>
                <c:formatCode>#,##0;\(#,##0\);\-</c:formatCode>
                <c:ptCount val="1"/>
                <c:pt idx="0">
                  <c:v>470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4752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Sales_Data!$H$4</c:f>
              <c:numCache>
                <c:formatCode>#,##0;\(#,##0\);\-</c:formatCode>
                <c:ptCount val="1"/>
                <c:pt idx="0">
                  <c:v>500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4752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Sales_Data!$I$4</c:f>
              <c:numCache>
                <c:formatCode>#,##0;\(#,##0\);\-</c:formatCode>
                <c:ptCount val="1"/>
                <c:pt idx="0">
                  <c:v>520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4752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Sales_Data!$J$4</c:f>
              <c:numCache>
                <c:formatCode>#,##0;\(#,##0\);\-</c:formatCode>
                <c:ptCount val="1"/>
                <c:pt idx="0">
                  <c:v>540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4752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Sales_Data!$K$4</c:f>
              <c:numCache>
                <c:formatCode>#,##0;\(#,##0\);\-</c:formatCode>
                <c:ptCount val="1"/>
                <c:pt idx="0">
                  <c:v>510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4752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Sales_Data!$L$4</c:f>
              <c:numCache>
                <c:formatCode>#,##0;\(#,##0\);\-</c:formatCode>
                <c:ptCount val="1"/>
                <c:pt idx="0">
                  <c:v>580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4752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Sales_Data!$M$4</c:f>
              <c:numCache>
                <c:formatCode>#,##0;\(#,##0\);\-</c:formatCode>
                <c:ptCount val="1"/>
                <c:pt idx="0">
                  <c:v>720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4752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Sales_Data!$N$4</c:f>
              <c:numCache>
                <c:formatCode>#,##0;\(#,##0\);\-</c:formatCode>
                <c:ptCount val="1"/>
                <c:pt idx="0">
                  <c:v>850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4752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Sales_Data!$C$5</c:f>
              <c:numCache>
                <c:formatCode>#,##0;\(#,##0\);\-</c:formatCode>
                <c:ptCount val="1"/>
                <c:pt idx="0">
                  <c:v>310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4752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Sales_Data!$D$5</c:f>
              <c:numCache>
                <c:formatCode>#,##0;\(#,##0\);\-</c:formatCode>
                <c:ptCount val="1"/>
                <c:pt idx="0">
                  <c:v>290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4752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Sales_Data!$E$5</c:f>
              <c:numCache>
                <c:formatCode>#,##0;\(#,##0\);\-</c:formatCode>
                <c:ptCount val="1"/>
                <c:pt idx="0">
                  <c:v>320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4752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Sales_Data!$F$5</c:f>
              <c:numCache>
                <c:formatCode>#,##0;\(#,##0\);\-</c:formatCode>
                <c:ptCount val="1"/>
                <c:pt idx="0">
                  <c:v>380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4752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Sales_Data!$G$5</c:f>
              <c:numCache>
                <c:formatCode>#,##0;\(#,##0\);\-</c:formatCode>
                <c:ptCount val="1"/>
                <c:pt idx="0">
                  <c:v>420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4752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Sales_Data!$H$5</c:f>
              <c:numCache>
                <c:formatCode>#,##0;\(#,##0\);\-</c:formatCode>
                <c:ptCount val="1"/>
                <c:pt idx="0">
                  <c:v>460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4752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Sales_Data!$I$5</c:f>
              <c:numCache>
                <c:formatCode>#,##0;\(#,##0\);\-</c:formatCode>
                <c:ptCount val="1"/>
                <c:pt idx="0">
                  <c:v>480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4752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Sales_Data!$J$5</c:f>
              <c:numCache>
                <c:formatCode>#,##0;\(#,##0\);\-</c:formatCode>
                <c:ptCount val="1"/>
                <c:pt idx="0">
                  <c:v>500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4752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Sales_Data!$K$5</c:f>
              <c:numCache>
                <c:formatCode>#,##0;\(#,##0\);\-</c:formatCode>
                <c:ptCount val="1"/>
                <c:pt idx="0">
                  <c:v>440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4752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Sales_Data!$L$5</c:f>
              <c:numCache>
                <c:formatCode>#,##0;\(#,##0\);\-</c:formatCode>
                <c:ptCount val="1"/>
                <c:pt idx="0">
                  <c:v>390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4752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Sales_Data!$M$5</c:f>
              <c:numCache>
                <c:formatCode>#,##0;\(#,##0\);\-</c:formatCode>
                <c:ptCount val="1"/>
                <c:pt idx="0">
                  <c:v>550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4752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Sales_Data!$N$5</c:f>
              <c:numCache>
                <c:formatCode>#,##0;\(#,##0\);\-</c:formatCode>
                <c:ptCount val="1"/>
                <c:pt idx="0">
                  <c:v>680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4752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Sales_Data!$C$6</c:f>
              <c:numCache>
                <c:formatCode>#,##0;\(#,##0\);\-</c:formatCode>
                <c:ptCount val="1"/>
                <c:pt idx="0">
                  <c:v>280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4752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Sales_Data!$D$6</c:f>
              <c:numCache>
                <c:formatCode>#,##0;\(#,##0\);\-</c:formatCode>
                <c:ptCount val="1"/>
                <c:pt idx="0">
                  <c:v>260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4752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Sales_Data!$E$6</c:f>
              <c:numCache>
                <c:formatCode>#,##0;\(#,##0\);\-</c:formatCode>
                <c:ptCount val="1"/>
                <c:pt idx="0">
                  <c:v>275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4752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Sales_Data!$F$6</c:f>
              <c:numCache>
                <c:formatCode>#,##0;\(#,##0\);\-</c:formatCode>
                <c:ptCount val="1"/>
                <c:pt idx="0">
                  <c:v>310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4752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Sales_Data!$G$6</c:f>
              <c:numCache>
                <c:formatCode>#,##0;\(#,##0\);\-</c:formatCode>
                <c:ptCount val="1"/>
                <c:pt idx="0">
                  <c:v>340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4752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Sales_Data!$H$6</c:f>
              <c:numCache>
                <c:formatCode>#,##0;\(#,##0\);\-</c:formatCode>
                <c:ptCount val="1"/>
                <c:pt idx="0">
                  <c:v>360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4752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Sales_Data!$I$6</c:f>
              <c:numCache>
                <c:formatCode>#,##0;\(#,##0\);\-</c:formatCode>
                <c:ptCount val="1"/>
                <c:pt idx="0">
                  <c:v>370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4752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Sales_Data!$J$6</c:f>
              <c:numCache>
                <c:formatCode>#,##0;\(#,##0\);\-</c:formatCode>
                <c:ptCount val="1"/>
                <c:pt idx="0">
                  <c:v>380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4752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Sales_Data!$K$6</c:f>
              <c:numCache>
                <c:formatCode>#,##0;\(#,##0\);\-</c:formatCode>
                <c:ptCount val="1"/>
                <c:pt idx="0">
                  <c:v>350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4752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Sales_Data!$L$6</c:f>
              <c:numCache>
                <c:formatCode>#,##0;\(#,##0\);\-</c:formatCode>
                <c:ptCount val="1"/>
                <c:pt idx="0">
                  <c:v>400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4752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Sales_Data!$M$6</c:f>
              <c:numCache>
                <c:formatCode>#,##0;\(#,##0\);\-</c:formatCode>
                <c:ptCount val="1"/>
                <c:pt idx="0">
                  <c:v>490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4752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Sales_Data!$N$6</c:f>
              <c:numCache>
                <c:formatCode>#,##0;\(#,##0\);\-</c:formatCode>
                <c:ptCount val="1"/>
                <c:pt idx="0">
                  <c:v>580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4752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Sales_Data!$C$7</c:f>
              <c:numCache>
                <c:formatCode>#,##0;\(#,##0\);\-</c:formatCode>
                <c:ptCount val="1"/>
                <c:pt idx="0">
                  <c:v>190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4752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Sales_Data!$D$7</c:f>
              <c:numCache>
                <c:formatCode>#,##0;\(#,##0\);\-</c:formatCode>
                <c:ptCount val="1"/>
                <c:pt idx="0">
                  <c:v>180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4752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Sales_Data!$E$7</c:f>
              <c:numCache>
                <c:formatCode>#,##0;\(#,##0\);\-</c:formatCode>
                <c:ptCount val="1"/>
                <c:pt idx="0">
                  <c:v>210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4752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Sales_Data!$F$7</c:f>
              <c:numCache>
                <c:formatCode>#,##0;\(#,##0\);\-</c:formatCode>
                <c:ptCount val="1"/>
                <c:pt idx="0">
                  <c:v>280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4752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Sales_Data!$G$7</c:f>
              <c:numCache>
                <c:formatCode>#,##0;\(#,##0\);\-</c:formatCode>
                <c:ptCount val="1"/>
                <c:pt idx="0">
                  <c:v>350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4752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Sales_Data!$H$7</c:f>
              <c:numCache>
                <c:formatCode>#,##0;\(#,##0\);\-</c:formatCode>
                <c:ptCount val="1"/>
                <c:pt idx="0">
                  <c:v>420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4752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Sales_Data!$I$7</c:f>
              <c:numCache>
                <c:formatCode>#,##0;\(#,##0\);\-</c:formatCode>
                <c:ptCount val="1"/>
                <c:pt idx="0">
                  <c:v>460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4752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Sales_Data!$J$7</c:f>
              <c:numCache>
                <c:formatCode>#,##0;\(#,##0\);\-</c:formatCode>
                <c:ptCount val="1"/>
                <c:pt idx="0">
                  <c:v>440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4752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Sales_Data!$K$7</c:f>
              <c:numCache>
                <c:formatCode>#,##0;\(#,##0\);\-</c:formatCode>
                <c:ptCount val="1"/>
                <c:pt idx="0">
                  <c:v>380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4752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Sales_Data!$L$7</c:f>
              <c:numCache>
                <c:formatCode>#,##0;\(#,##0\);\-</c:formatCode>
                <c:ptCount val="1"/>
                <c:pt idx="0">
                  <c:v>310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4752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Sales_Data!$M$7</c:f>
              <c:numCache>
                <c:formatCode>#,##0;\(#,##0\);\-</c:formatCode>
                <c:ptCount val="1"/>
                <c:pt idx="0">
                  <c:v>250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4752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Sales_Data!$N$7</c:f>
              <c:numCache>
                <c:formatCode>#,##0;\(#,##0\);\-</c:formatCode>
                <c:ptCount val="1"/>
                <c:pt idx="0">
                  <c:v>220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4752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Sales_Data!$C$8</c:f>
              <c:numCache>
                <c:formatCode>#,##0;\(#,##0\);\-</c:formatCode>
                <c:ptCount val="1"/>
                <c:pt idx="0">
                  <c:v>350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4752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Sales_Data!$D$8</c:f>
              <c:numCache>
                <c:formatCode>#,##0;\(#,##0\);\-</c:formatCode>
                <c:ptCount val="1"/>
                <c:pt idx="0">
                  <c:v>330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4752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Sales_Data!$E$8</c:f>
              <c:numCache>
                <c:formatCode>#,##0;\(#,##0\);\-</c:formatCode>
                <c:ptCount val="1"/>
                <c:pt idx="0">
                  <c:v>355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4752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Sales_Data!$F$8</c:f>
              <c:numCache>
                <c:formatCode>#,##0;\(#,##0\);\-</c:formatCode>
                <c:ptCount val="1"/>
                <c:pt idx="0">
                  <c:v>370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4752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Sales_Data!$G$8</c:f>
              <c:numCache>
                <c:formatCode>#,##0;\(#,##0\);\-</c:formatCode>
                <c:ptCount val="1"/>
                <c:pt idx="0">
                  <c:v>390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4752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Sales_Data!$H$8</c:f>
              <c:numCache>
                <c:formatCode>#,##0;\(#,##0\);\-</c:formatCode>
                <c:ptCount val="1"/>
                <c:pt idx="0">
                  <c:v>410</c:v>
                </c:pt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4752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Sales_Data!$I$8</c:f>
              <c:numCache>
                <c:formatCode>#,##0;\(#,##0\);\-</c:formatCode>
                <c:ptCount val="1"/>
                <c:pt idx="0">
                  <c:v>420</c:v>
                </c:pt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4752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Sales_Data!$J$8</c:f>
              <c:numCache>
                <c:formatCode>#,##0;\(#,##0\);\-</c:formatCode>
                <c:ptCount val="1"/>
                <c:pt idx="0">
                  <c:v>430</c:v>
                </c:pt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4752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Sales_Data!$K$8</c:f>
              <c:numCache>
                <c:formatCode>#,##0;\(#,##0\);\-</c:formatCode>
                <c:ptCount val="1"/>
                <c:pt idx="0">
                  <c:v>415</c:v>
                </c:pt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4752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Sales_Data!$L$8</c:f>
              <c:numCache>
                <c:formatCode>#,##0;\(#,##0\);\-</c:formatCode>
                <c:ptCount val="1"/>
                <c:pt idx="0">
                  <c:v>440</c:v>
                </c:pt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4752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Sales_Data!$M$8</c:f>
              <c:numCache>
                <c:formatCode>#,##0;\(#,##0\);\-</c:formatCode>
                <c:ptCount val="1"/>
                <c:pt idx="0">
                  <c:v>510</c:v>
                </c:pt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4752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Sales_Data!$C$3:$N$3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Sales_Data!$N$8</c:f>
              <c:numCache>
                <c:formatCode>#,##0;\(#,##0\);\-</c:formatCode>
                <c:ptCount val="1"/>
                <c:pt idx="0">
                  <c:v>560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779376"/>
        <c:axId val="84645496"/>
      </c:lineChart>
      <c:catAx>
        <c:axId val="77779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45496"/>
        <c:crosses val="autoZero"/>
        <c:auto val="1"/>
        <c:lblAlgn val="ctr"/>
        <c:lblOffset val="100"/>
        <c:noMultiLvlLbl val="0"/>
      </c:catAx>
      <c:valAx>
        <c:axId val="84645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793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13</xdr:col>
      <xdr:colOff>211320</xdr:colOff>
      <xdr:row>37</xdr:row>
      <xdr:rowOff>86400</xdr:rowOff>
    </xdr:to>
    <xdr:graphicFrame>
      <xdr:nvGraphicFramePr>
        <xdr:cNvPr id="0" name="Chart 1"/>
        <xdr:cNvGraphicFramePr/>
      </xdr:nvGraphicFramePr>
      <xdr:xfrm>
        <a:off x="0" y="2714760"/>
        <a:ext cx="1007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"/>
    <col collapsed="false" customWidth="true" hidden="false" outlineLevel="0" max="15" min="3" style="1" width="1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21.75" hidden="false" customHeight="true" outlineLevel="0" collapsed="false">
      <c r="A3" s="4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6" t="s">
        <v>16</v>
      </c>
    </row>
    <row r="4" customFormat="false" ht="18" hidden="false" customHeight="true" outlineLevel="0" collapsed="false">
      <c r="A4" s="7" t="s">
        <v>17</v>
      </c>
      <c r="B4" s="8" t="s">
        <v>18</v>
      </c>
      <c r="C4" s="9" t="n">
        <v>420</v>
      </c>
      <c r="D4" s="9" t="n">
        <v>390</v>
      </c>
      <c r="E4" s="9" t="n">
        <v>410</v>
      </c>
      <c r="F4" s="9" t="n">
        <v>450</v>
      </c>
      <c r="G4" s="9" t="n">
        <v>470</v>
      </c>
      <c r="H4" s="9" t="n">
        <v>500</v>
      </c>
      <c r="I4" s="9" t="n">
        <v>520</v>
      </c>
      <c r="J4" s="9" t="n">
        <v>540</v>
      </c>
      <c r="K4" s="9" t="n">
        <v>510</v>
      </c>
      <c r="L4" s="9" t="n">
        <v>580</v>
      </c>
      <c r="M4" s="9" t="n">
        <v>720</v>
      </c>
      <c r="N4" s="9" t="n">
        <v>850</v>
      </c>
      <c r="O4" s="10" t="n">
        <f aca="false">SUM(C4:N4)</f>
        <v>6360</v>
      </c>
    </row>
    <row r="5" customFormat="false" ht="18" hidden="false" customHeight="true" outlineLevel="0" collapsed="false">
      <c r="A5" s="11" t="s">
        <v>19</v>
      </c>
      <c r="B5" s="12" t="s">
        <v>20</v>
      </c>
      <c r="C5" s="13" t="n">
        <v>310</v>
      </c>
      <c r="D5" s="13" t="n">
        <v>290</v>
      </c>
      <c r="E5" s="13" t="n">
        <v>320</v>
      </c>
      <c r="F5" s="13" t="n">
        <v>380</v>
      </c>
      <c r="G5" s="13" t="n">
        <v>420</v>
      </c>
      <c r="H5" s="13" t="n">
        <v>460</v>
      </c>
      <c r="I5" s="13" t="n">
        <v>480</v>
      </c>
      <c r="J5" s="13" t="n">
        <v>500</v>
      </c>
      <c r="K5" s="13" t="n">
        <v>440</v>
      </c>
      <c r="L5" s="13" t="n">
        <v>390</v>
      </c>
      <c r="M5" s="13" t="n">
        <v>550</v>
      </c>
      <c r="N5" s="13" t="n">
        <v>680</v>
      </c>
      <c r="O5" s="10" t="n">
        <f aca="false">SUM(C5:N5)</f>
        <v>5220</v>
      </c>
    </row>
    <row r="6" customFormat="false" ht="18" hidden="false" customHeight="true" outlineLevel="0" collapsed="false">
      <c r="A6" s="7" t="s">
        <v>21</v>
      </c>
      <c r="B6" s="8" t="s">
        <v>22</v>
      </c>
      <c r="C6" s="9" t="n">
        <v>280</v>
      </c>
      <c r="D6" s="9" t="n">
        <v>260</v>
      </c>
      <c r="E6" s="9" t="n">
        <v>275</v>
      </c>
      <c r="F6" s="9" t="n">
        <v>310</v>
      </c>
      <c r="G6" s="9" t="n">
        <v>340</v>
      </c>
      <c r="H6" s="9" t="n">
        <v>360</v>
      </c>
      <c r="I6" s="9" t="n">
        <v>370</v>
      </c>
      <c r="J6" s="9" t="n">
        <v>380</v>
      </c>
      <c r="K6" s="9" t="n">
        <v>350</v>
      </c>
      <c r="L6" s="9" t="n">
        <v>400</v>
      </c>
      <c r="M6" s="9" t="n">
        <v>490</v>
      </c>
      <c r="N6" s="9" t="n">
        <v>580</v>
      </c>
      <c r="O6" s="10" t="n">
        <f aca="false">SUM(C6:N6)</f>
        <v>4395</v>
      </c>
    </row>
    <row r="7" customFormat="false" ht="18" hidden="false" customHeight="true" outlineLevel="0" collapsed="false">
      <c r="A7" s="11" t="s">
        <v>23</v>
      </c>
      <c r="B7" s="12" t="s">
        <v>24</v>
      </c>
      <c r="C7" s="13" t="n">
        <v>190</v>
      </c>
      <c r="D7" s="13" t="n">
        <v>180</v>
      </c>
      <c r="E7" s="13" t="n">
        <v>210</v>
      </c>
      <c r="F7" s="13" t="n">
        <v>280</v>
      </c>
      <c r="G7" s="13" t="n">
        <v>350</v>
      </c>
      <c r="H7" s="13" t="n">
        <v>420</v>
      </c>
      <c r="I7" s="13" t="n">
        <v>460</v>
      </c>
      <c r="J7" s="13" t="n">
        <v>440</v>
      </c>
      <c r="K7" s="13" t="n">
        <v>380</v>
      </c>
      <c r="L7" s="13" t="n">
        <v>310</v>
      </c>
      <c r="M7" s="13" t="n">
        <v>250</v>
      </c>
      <c r="N7" s="13" t="n">
        <v>220</v>
      </c>
      <c r="O7" s="10" t="n">
        <f aca="false">SUM(C7:N7)</f>
        <v>3690</v>
      </c>
    </row>
    <row r="8" customFormat="false" ht="18" hidden="false" customHeight="true" outlineLevel="0" collapsed="false">
      <c r="A8" s="7" t="s">
        <v>25</v>
      </c>
      <c r="B8" s="8" t="s">
        <v>26</v>
      </c>
      <c r="C8" s="9" t="n">
        <v>350</v>
      </c>
      <c r="D8" s="9" t="n">
        <v>330</v>
      </c>
      <c r="E8" s="9" t="n">
        <v>355</v>
      </c>
      <c r="F8" s="9" t="n">
        <v>370</v>
      </c>
      <c r="G8" s="9" t="n">
        <v>390</v>
      </c>
      <c r="H8" s="9" t="n">
        <v>410</v>
      </c>
      <c r="I8" s="9" t="n">
        <v>420</v>
      </c>
      <c r="J8" s="9" t="n">
        <v>430</v>
      </c>
      <c r="K8" s="9" t="n">
        <v>415</v>
      </c>
      <c r="L8" s="9" t="n">
        <v>440</v>
      </c>
      <c r="M8" s="9" t="n">
        <v>510</v>
      </c>
      <c r="N8" s="9" t="n">
        <v>560</v>
      </c>
      <c r="O8" s="10" t="n">
        <f aca="false">SUM(C8:N8)</f>
        <v>4980</v>
      </c>
    </row>
    <row r="9" customFormat="false" ht="19.5" hidden="false" customHeight="true" outlineLevel="0" collapsed="false">
      <c r="A9" s="14" t="s">
        <v>27</v>
      </c>
      <c r="B9" s="14"/>
      <c r="C9" s="15" t="n">
        <f aca="false">SUM(C4:C8)</f>
        <v>1550</v>
      </c>
      <c r="D9" s="15" t="n">
        <f aca="false">SUM(D4:D8)</f>
        <v>1450</v>
      </c>
      <c r="E9" s="15" t="n">
        <f aca="false">SUM(E4:E8)</f>
        <v>1570</v>
      </c>
      <c r="F9" s="15" t="n">
        <f aca="false">SUM(F4:F8)</f>
        <v>1790</v>
      </c>
      <c r="G9" s="15" t="n">
        <f aca="false">SUM(G4:G8)</f>
        <v>1970</v>
      </c>
      <c r="H9" s="15" t="n">
        <f aca="false">SUM(H4:H8)</f>
        <v>2150</v>
      </c>
      <c r="I9" s="15" t="n">
        <f aca="false">SUM(I4:I8)</f>
        <v>2250</v>
      </c>
      <c r="J9" s="15" t="n">
        <f aca="false">SUM(J4:J8)</f>
        <v>2290</v>
      </c>
      <c r="K9" s="15" t="n">
        <f aca="false">SUM(K4:K8)</f>
        <v>2095</v>
      </c>
      <c r="L9" s="15" t="n">
        <f aca="false">SUM(L4:L8)</f>
        <v>2120</v>
      </c>
      <c r="M9" s="15" t="n">
        <f aca="false">SUM(M4:M8)</f>
        <v>2520</v>
      </c>
      <c r="N9" s="15" t="n">
        <f aca="false">SUM(N4:N8)</f>
        <v>2890</v>
      </c>
      <c r="O9" s="15" t="n">
        <f aca="false">SUM(O4:O8)</f>
        <v>24645</v>
      </c>
    </row>
    <row r="10" customFormat="false" ht="15" hidden="false" customHeight="true" outlineLevel="0" collapsed="false">
      <c r="A10" s="16" t="s">
        <v>28</v>
      </c>
      <c r="B10" s="16"/>
      <c r="C10" s="17" t="s">
        <v>29</v>
      </c>
      <c r="D10" s="18" t="n">
        <f aca="false">IF(C9&lt;&gt;0,(D9-C9)/C9,0)</f>
        <v>-0.0645161290322581</v>
      </c>
      <c r="E10" s="18" t="n">
        <f aca="false">IF(D9&lt;&gt;0,(E9-D9)/D9,0)</f>
        <v>0.0827586206896552</v>
      </c>
      <c r="F10" s="18" t="n">
        <f aca="false">IF(E9&lt;&gt;0,(F9-E9)/E9,0)</f>
        <v>0.140127388535032</v>
      </c>
      <c r="G10" s="18" t="n">
        <f aca="false">IF(F9&lt;&gt;0,(G9-F9)/F9,0)</f>
        <v>0.100558659217877</v>
      </c>
      <c r="H10" s="18" t="n">
        <f aca="false">IF(G9&lt;&gt;0,(H9-G9)/G9,0)</f>
        <v>0.0913705583756345</v>
      </c>
      <c r="I10" s="18" t="n">
        <f aca="false">IF(H9&lt;&gt;0,(I9-H9)/H9,0)</f>
        <v>0.0465116279069767</v>
      </c>
      <c r="J10" s="18" t="n">
        <f aca="false">IF(I9&lt;&gt;0,(J9-I9)/I9,0)</f>
        <v>0.0177777777777778</v>
      </c>
      <c r="K10" s="18" t="n">
        <f aca="false">IF(J9&lt;&gt;0,(K9-J9)/J9,0)</f>
        <v>-0.0851528384279476</v>
      </c>
      <c r="L10" s="18" t="n">
        <f aca="false">IF(K9&lt;&gt;0,(L9-K9)/K9,0)</f>
        <v>0.0119331742243437</v>
      </c>
      <c r="M10" s="18" t="n">
        <f aca="false">IF(L9&lt;&gt;0,(M9-L9)/L9,0)</f>
        <v>0.188679245283019</v>
      </c>
      <c r="N10" s="18" t="n">
        <f aca="false">IF(M9&lt;&gt;0,(N9-M9)/M9,0)</f>
        <v>0.146825396825397</v>
      </c>
      <c r="O10" s="17" t="s">
        <v>29</v>
      </c>
    </row>
    <row r="11" customFormat="false" ht="18" hidden="false" customHeight="true" outlineLevel="0" collapsed="false"/>
  </sheetData>
  <mergeCells count="4">
    <mergeCell ref="A1:O1"/>
    <mergeCell ref="A2:O2"/>
    <mergeCell ref="A9:B9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17" min="3" style="1" width="11"/>
  </cols>
  <sheetData>
    <row r="1" customFormat="false" ht="31.5" hidden="false" customHeight="true" outlineLevel="0" collapsed="false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8" hidden="false" customHeight="true" outlineLevel="0" collapsed="false">
      <c r="A2" s="3" t="s">
        <v>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19.5" hidden="false" customHeight="true" outlineLevel="0" collapsed="false">
      <c r="A4" s="16" t="s">
        <v>32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customFormat="false" ht="18" hidden="false" customHeight="true" outlineLevel="0" collapsed="false">
      <c r="A5" s="19" t="s">
        <v>33</v>
      </c>
      <c r="B5" s="20" t="n">
        <v>0.3</v>
      </c>
      <c r="E5" s="19" t="s">
        <v>34</v>
      </c>
      <c r="F5" s="20" t="n">
        <v>3</v>
      </c>
      <c r="I5" s="19" t="s">
        <v>35</v>
      </c>
      <c r="J5" s="20" t="n">
        <v>6</v>
      </c>
      <c r="M5" s="19" t="s">
        <v>36</v>
      </c>
      <c r="N5" s="20" t="n">
        <v>3</v>
      </c>
    </row>
    <row r="6" customFormat="false" ht="18" hidden="false" customHeight="true" outlineLevel="0" collapsed="false">
      <c r="A6" s="21" t="s">
        <v>37</v>
      </c>
      <c r="E6" s="21" t="s">
        <v>38</v>
      </c>
      <c r="I6" s="21" t="s">
        <v>39</v>
      </c>
      <c r="M6" s="21" t="s">
        <v>40</v>
      </c>
    </row>
    <row r="8" customFormat="false" ht="21.75" hidden="false" customHeight="true" outlineLevel="0" collapsed="false">
      <c r="A8" s="14" t="s">
        <v>41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customFormat="false" ht="18" hidden="false" customHeight="true" outlineLevel="0" collapsed="false">
      <c r="A9" s="22" t="s">
        <v>42</v>
      </c>
      <c r="B9" s="23" t="s">
        <v>4</v>
      </c>
      <c r="C9" s="23" t="s">
        <v>5</v>
      </c>
      <c r="D9" s="23" t="s">
        <v>6</v>
      </c>
      <c r="E9" s="23" t="s">
        <v>7</v>
      </c>
      <c r="F9" s="23" t="s">
        <v>8</v>
      </c>
      <c r="G9" s="23" t="s">
        <v>9</v>
      </c>
      <c r="H9" s="23" t="s">
        <v>10</v>
      </c>
      <c r="I9" s="23" t="s">
        <v>11</v>
      </c>
      <c r="J9" s="23" t="s">
        <v>12</v>
      </c>
      <c r="K9" s="23" t="s">
        <v>13</v>
      </c>
      <c r="L9" s="23" t="s">
        <v>14</v>
      </c>
      <c r="M9" s="23" t="s">
        <v>15</v>
      </c>
      <c r="N9" s="24" t="s">
        <v>43</v>
      </c>
      <c r="O9" s="24" t="s">
        <v>44</v>
      </c>
      <c r="P9" s="24" t="s">
        <v>45</v>
      </c>
      <c r="Q9" s="24" t="s">
        <v>46</v>
      </c>
      <c r="R9" s="24" t="s">
        <v>47</v>
      </c>
    </row>
    <row r="10" customFormat="false" ht="18" hidden="false" customHeight="true" outlineLevel="0" collapsed="false">
      <c r="A10" s="25" t="s">
        <v>48</v>
      </c>
      <c r="B10" s="26" t="n">
        <v>420</v>
      </c>
      <c r="C10" s="26" t="n">
        <v>390</v>
      </c>
      <c r="D10" s="26" t="n">
        <v>410</v>
      </c>
      <c r="E10" s="26" t="n">
        <v>450</v>
      </c>
      <c r="F10" s="26" t="n">
        <v>470</v>
      </c>
      <c r="G10" s="26" t="n">
        <v>500</v>
      </c>
      <c r="H10" s="26" t="n">
        <v>520</v>
      </c>
      <c r="I10" s="26" t="n">
        <v>540</v>
      </c>
      <c r="J10" s="26" t="n">
        <v>510</v>
      </c>
      <c r="K10" s="26" t="n">
        <v>580</v>
      </c>
      <c r="L10" s="26" t="n">
        <v>720</v>
      </c>
      <c r="M10" s="26" t="n">
        <v>850</v>
      </c>
      <c r="N10" s="27" t="s">
        <v>29</v>
      </c>
      <c r="O10" s="27" t="s">
        <v>29</v>
      </c>
      <c r="P10" s="27" t="s">
        <v>29</v>
      </c>
      <c r="Q10" s="28" t="s">
        <v>29</v>
      </c>
    </row>
    <row r="11" customFormat="false" ht="18" hidden="false" customHeight="true" outlineLevel="0" collapsed="false">
      <c r="A11" s="29" t="s">
        <v>49</v>
      </c>
      <c r="B11" s="17" t="s">
        <v>29</v>
      </c>
      <c r="C11" s="17" t="s">
        <v>29</v>
      </c>
      <c r="D11" s="30" t="n">
        <f aca="false">AVERAGE(C10:A10)</f>
        <v>405</v>
      </c>
      <c r="E11" s="30" t="n">
        <f aca="false">AVERAGE(D10:B10)</f>
        <v>406.666666666667</v>
      </c>
      <c r="F11" s="30" t="n">
        <f aca="false">AVERAGE(E10:C10)</f>
        <v>416.666666666667</v>
      </c>
      <c r="G11" s="30" t="n">
        <f aca="false">AVERAGE(F10:D10)</f>
        <v>443.333333333333</v>
      </c>
      <c r="H11" s="30" t="n">
        <f aca="false">AVERAGE(G10:E10)</f>
        <v>473.333333333333</v>
      </c>
      <c r="I11" s="30" t="n">
        <f aca="false">AVERAGE(H10:F10)</f>
        <v>496.666666666667</v>
      </c>
      <c r="J11" s="30" t="n">
        <f aca="false">AVERAGE(I10:G10)</f>
        <v>520</v>
      </c>
      <c r="K11" s="30" t="n">
        <f aca="false">AVERAGE(J10:H10)</f>
        <v>523.333333333333</v>
      </c>
      <c r="L11" s="30" t="n">
        <f aca="false">AVERAGE(K10:I10)</f>
        <v>543.333333333333</v>
      </c>
      <c r="M11" s="30" t="n">
        <f aca="false">AVERAGE(L10:J10)</f>
        <v>603.333333333333</v>
      </c>
      <c r="N11" s="31" t="n">
        <f aca="false">ROUND(AVERAGE(K10,L10,M10),1)</f>
        <v>716.7</v>
      </c>
      <c r="O11" s="31" t="n">
        <f aca="false">ROUND(AVERAGE(L10,M10,N11),1)</f>
        <v>762.2</v>
      </c>
      <c r="P11" s="31" t="n">
        <f aca="false">ROUND(AVERAGE(M10,N11,O11),1)</f>
        <v>776.3</v>
      </c>
      <c r="Q11" s="32" t="n">
        <f aca="false">IFERROR(AVERAGE(ABS((D10:M10-D11:M11)/D10:M10)),0)</f>
        <v>0</v>
      </c>
    </row>
    <row r="12" customFormat="false" ht="18" hidden="false" customHeight="true" outlineLevel="0" collapsed="false">
      <c r="A12" s="33" t="s">
        <v>50</v>
      </c>
      <c r="B12" s="28" t="s">
        <v>29</v>
      </c>
      <c r="C12" s="28" t="s">
        <v>29</v>
      </c>
      <c r="D12" s="28" t="s">
        <v>29</v>
      </c>
      <c r="E12" s="28" t="s">
        <v>29</v>
      </c>
      <c r="F12" s="28" t="s">
        <v>29</v>
      </c>
      <c r="G12" s="28" t="s">
        <v>29</v>
      </c>
      <c r="H12" s="34" t="n">
        <f aca="false">AVERAGE(C10:G10)</f>
        <v>444</v>
      </c>
      <c r="I12" s="34" t="n">
        <f aca="false">AVERAGE(D10:H10)</f>
        <v>470</v>
      </c>
      <c r="J12" s="34" t="n">
        <f aca="false">AVERAGE(E10:I10)</f>
        <v>496</v>
      </c>
      <c r="K12" s="34" t="n">
        <f aca="false">AVERAGE(F10:J10)</f>
        <v>508</v>
      </c>
      <c r="L12" s="34" t="n">
        <f aca="false">AVERAGE(G10:K10)</f>
        <v>530</v>
      </c>
      <c r="M12" s="34" t="n">
        <f aca="false">AVERAGE(H10:L10)</f>
        <v>574</v>
      </c>
      <c r="N12" s="35" t="n">
        <f aca="false">AVERAGE(I12:M12)</f>
        <v>515.6</v>
      </c>
      <c r="O12" s="35" t="n">
        <f aca="false">AVERAGE(J12:N12)</f>
        <v>524.72</v>
      </c>
      <c r="P12" s="35" t="n">
        <f aca="false">AVERAGE(K12:O12)</f>
        <v>530.464</v>
      </c>
      <c r="Q12" s="32" t="n">
        <f aca="false">IFERROR(AVERAGE(ABS((H10:M10-H12:M12)/H10:M10)),0)</f>
        <v>0</v>
      </c>
    </row>
    <row r="13" customFormat="false" ht="18" hidden="false" customHeight="true" outlineLevel="0" collapsed="false">
      <c r="A13" s="36" t="s">
        <v>51</v>
      </c>
      <c r="B13" s="37" t="n">
        <f aca="false">B10</f>
        <v>420</v>
      </c>
      <c r="C13" s="37" t="n">
        <f aca="false">$B$5*C10+(1-$B$5)*B13</f>
        <v>411</v>
      </c>
      <c r="D13" s="37" t="n">
        <f aca="false">$B$5*D10+(1-$B$5)*C13</f>
        <v>410.7</v>
      </c>
      <c r="E13" s="37" t="n">
        <f aca="false">$B$5*E10+(1-$B$5)*D13</f>
        <v>422.49</v>
      </c>
      <c r="F13" s="37" t="n">
        <f aca="false">$B$5*F10+(1-$B$5)*E13</f>
        <v>436.743</v>
      </c>
      <c r="G13" s="37" t="n">
        <f aca="false">$B$5*G10+(1-$B$5)*F13</f>
        <v>455.7201</v>
      </c>
      <c r="H13" s="37" t="n">
        <f aca="false">$B$5*H10+(1-$B$5)*G13</f>
        <v>475.00407</v>
      </c>
      <c r="I13" s="37" t="n">
        <f aca="false">$B$5*I10+(1-$B$5)*H13</f>
        <v>494.502849</v>
      </c>
      <c r="J13" s="37" t="n">
        <f aca="false">$B$5*J10+(1-$B$5)*I13</f>
        <v>499.1519943</v>
      </c>
      <c r="K13" s="37" t="n">
        <f aca="false">$B$5*K10+(1-$B$5)*J13</f>
        <v>523.40639601</v>
      </c>
      <c r="L13" s="37" t="n">
        <f aca="false">$B$5*L10+(1-$B$5)*K13</f>
        <v>582.384477207</v>
      </c>
      <c r="M13" s="37" t="n">
        <f aca="false">$B$5*M10+(1-$B$5)*L13</f>
        <v>662.6691340449</v>
      </c>
      <c r="N13" s="35" t="n">
        <f aca="false">M13</f>
        <v>662.6691340449</v>
      </c>
      <c r="O13" s="35" t="n">
        <f aca="false">N13</f>
        <v>662.6691340449</v>
      </c>
      <c r="P13" s="35" t="n">
        <f aca="false">O13</f>
        <v>662.6691340449</v>
      </c>
      <c r="Q13" s="38" t="n">
        <f aca="false">IFERROR(AVERAGE(ABS((C10:M10-C13:M13)/C10:M10)),0)</f>
        <v>0</v>
      </c>
    </row>
    <row r="15" customFormat="false" ht="21.75" hidden="false" customHeight="true" outlineLevel="0" collapsed="false">
      <c r="A15" s="16" t="s">
        <v>52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customFormat="false" ht="18" hidden="false" customHeight="true" outlineLevel="0" collapsed="false">
      <c r="A16" s="22" t="s">
        <v>42</v>
      </c>
      <c r="B16" s="23" t="s">
        <v>4</v>
      </c>
      <c r="C16" s="23" t="s">
        <v>5</v>
      </c>
      <c r="D16" s="23" t="s">
        <v>6</v>
      </c>
      <c r="E16" s="23" t="s">
        <v>7</v>
      </c>
      <c r="F16" s="23" t="s">
        <v>8</v>
      </c>
      <c r="G16" s="23" t="s">
        <v>9</v>
      </c>
      <c r="H16" s="23" t="s">
        <v>10</v>
      </c>
      <c r="I16" s="23" t="s">
        <v>11</v>
      </c>
      <c r="J16" s="23" t="s">
        <v>12</v>
      </c>
      <c r="K16" s="23" t="s">
        <v>13</v>
      </c>
      <c r="L16" s="23" t="s">
        <v>14</v>
      </c>
      <c r="M16" s="23" t="s">
        <v>15</v>
      </c>
      <c r="N16" s="24" t="s">
        <v>43</v>
      </c>
      <c r="O16" s="24" t="s">
        <v>44</v>
      </c>
      <c r="P16" s="24" t="s">
        <v>45</v>
      </c>
      <c r="Q16" s="24" t="s">
        <v>46</v>
      </c>
      <c r="R16" s="24" t="s">
        <v>47</v>
      </c>
    </row>
    <row r="17" customFormat="false" ht="18" hidden="false" customHeight="true" outlineLevel="0" collapsed="false">
      <c r="A17" s="25" t="s">
        <v>48</v>
      </c>
      <c r="B17" s="26" t="n">
        <v>310</v>
      </c>
      <c r="C17" s="26" t="n">
        <v>290</v>
      </c>
      <c r="D17" s="26" t="n">
        <v>320</v>
      </c>
      <c r="E17" s="26" t="n">
        <v>380</v>
      </c>
      <c r="F17" s="26" t="n">
        <v>420</v>
      </c>
      <c r="G17" s="26" t="n">
        <v>460</v>
      </c>
      <c r="H17" s="26" t="n">
        <v>480</v>
      </c>
      <c r="I17" s="26" t="n">
        <v>500</v>
      </c>
      <c r="J17" s="26" t="n">
        <v>440</v>
      </c>
      <c r="K17" s="26" t="n">
        <v>390</v>
      </c>
      <c r="L17" s="26" t="n">
        <v>550</v>
      </c>
      <c r="M17" s="26" t="n">
        <v>680</v>
      </c>
      <c r="N17" s="27" t="s">
        <v>29</v>
      </c>
      <c r="O17" s="27" t="s">
        <v>29</v>
      </c>
      <c r="P17" s="27" t="s">
        <v>29</v>
      </c>
      <c r="Q17" s="28" t="s">
        <v>29</v>
      </c>
    </row>
    <row r="18" customFormat="false" ht="18" hidden="false" customHeight="true" outlineLevel="0" collapsed="false">
      <c r="A18" s="29" t="s">
        <v>49</v>
      </c>
      <c r="B18" s="17" t="s">
        <v>29</v>
      </c>
      <c r="C18" s="17" t="s">
        <v>29</v>
      </c>
      <c r="D18" s="30" t="n">
        <f aca="false">AVERAGE(C17:A17)</f>
        <v>300</v>
      </c>
      <c r="E18" s="30" t="n">
        <f aca="false">AVERAGE(D17:B17)</f>
        <v>306.666666666667</v>
      </c>
      <c r="F18" s="30" t="n">
        <f aca="false">AVERAGE(E17:C17)</f>
        <v>330</v>
      </c>
      <c r="G18" s="30" t="n">
        <f aca="false">AVERAGE(F17:D17)</f>
        <v>373.333333333333</v>
      </c>
      <c r="H18" s="30" t="n">
        <f aca="false">AVERAGE(G17:E17)</f>
        <v>420</v>
      </c>
      <c r="I18" s="30" t="n">
        <f aca="false">AVERAGE(H17:F17)</f>
        <v>453.333333333333</v>
      </c>
      <c r="J18" s="30" t="n">
        <f aca="false">AVERAGE(I17:G17)</f>
        <v>480</v>
      </c>
      <c r="K18" s="30" t="n">
        <f aca="false">AVERAGE(J17:H17)</f>
        <v>473.333333333333</v>
      </c>
      <c r="L18" s="30" t="n">
        <f aca="false">AVERAGE(K17:I17)</f>
        <v>443.333333333333</v>
      </c>
      <c r="M18" s="30" t="n">
        <f aca="false">AVERAGE(L17:J17)</f>
        <v>460</v>
      </c>
      <c r="N18" s="31" t="n">
        <f aca="false">ROUND(AVERAGE(K17,L17,M17),1)</f>
        <v>540</v>
      </c>
      <c r="O18" s="31" t="n">
        <f aca="false">ROUND(AVERAGE(L17,M17,N18),1)</f>
        <v>590</v>
      </c>
      <c r="P18" s="31" t="n">
        <f aca="false">ROUND(AVERAGE(M17,N18,O18),1)</f>
        <v>603.3</v>
      </c>
      <c r="Q18" s="32" t="n">
        <f aca="false">IFERROR(AVERAGE(ABS((D17:M17-D18:M18)/D17:M17)),0)</f>
        <v>0</v>
      </c>
    </row>
    <row r="19" customFormat="false" ht="18" hidden="false" customHeight="true" outlineLevel="0" collapsed="false">
      <c r="A19" s="33" t="s">
        <v>50</v>
      </c>
      <c r="B19" s="28" t="s">
        <v>29</v>
      </c>
      <c r="C19" s="28" t="s">
        <v>29</v>
      </c>
      <c r="D19" s="28" t="s">
        <v>29</v>
      </c>
      <c r="E19" s="28" t="s">
        <v>29</v>
      </c>
      <c r="F19" s="28" t="s">
        <v>29</v>
      </c>
      <c r="G19" s="28" t="s">
        <v>29</v>
      </c>
      <c r="H19" s="34" t="n">
        <f aca="false">AVERAGE(C17:G17)</f>
        <v>374</v>
      </c>
      <c r="I19" s="34" t="n">
        <f aca="false">AVERAGE(D17:H17)</f>
        <v>412</v>
      </c>
      <c r="J19" s="34" t="n">
        <f aca="false">AVERAGE(E17:I17)</f>
        <v>448</v>
      </c>
      <c r="K19" s="34" t="n">
        <f aca="false">AVERAGE(F17:J17)</f>
        <v>460</v>
      </c>
      <c r="L19" s="34" t="n">
        <f aca="false">AVERAGE(G17:K17)</f>
        <v>454</v>
      </c>
      <c r="M19" s="34" t="n">
        <f aca="false">AVERAGE(H17:L17)</f>
        <v>472</v>
      </c>
      <c r="N19" s="35" t="n">
        <f aca="false">AVERAGE(I19:M19)</f>
        <v>449.2</v>
      </c>
      <c r="O19" s="35" t="n">
        <f aca="false">AVERAGE(J19:N19)</f>
        <v>456.64</v>
      </c>
      <c r="P19" s="35" t="n">
        <f aca="false">AVERAGE(K19:O19)</f>
        <v>458.368</v>
      </c>
      <c r="Q19" s="32" t="n">
        <f aca="false">IFERROR(AVERAGE(ABS((H17:M17-H19:M19)/H17:M17)),0)</f>
        <v>0</v>
      </c>
    </row>
    <row r="20" customFormat="false" ht="18" hidden="false" customHeight="true" outlineLevel="0" collapsed="false">
      <c r="A20" s="36" t="s">
        <v>51</v>
      </c>
      <c r="B20" s="37" t="n">
        <f aca="false">B17</f>
        <v>310</v>
      </c>
      <c r="C20" s="37" t="n">
        <f aca="false">$B$5*C17+(1-$B$5)*B20</f>
        <v>304</v>
      </c>
      <c r="D20" s="37" t="n">
        <f aca="false">$B$5*D17+(1-$B$5)*C20</f>
        <v>308.8</v>
      </c>
      <c r="E20" s="37" t="n">
        <f aca="false">$B$5*E17+(1-$B$5)*D20</f>
        <v>330.16</v>
      </c>
      <c r="F20" s="37" t="n">
        <f aca="false">$B$5*F17+(1-$B$5)*E20</f>
        <v>357.112</v>
      </c>
      <c r="G20" s="37" t="n">
        <f aca="false">$B$5*G17+(1-$B$5)*F20</f>
        <v>387.9784</v>
      </c>
      <c r="H20" s="37" t="n">
        <f aca="false">$B$5*H17+(1-$B$5)*G20</f>
        <v>415.58488</v>
      </c>
      <c r="I20" s="37" t="n">
        <f aca="false">$B$5*I17+(1-$B$5)*H20</f>
        <v>440.909416</v>
      </c>
      <c r="J20" s="37" t="n">
        <f aca="false">$B$5*J17+(1-$B$5)*I20</f>
        <v>440.6365912</v>
      </c>
      <c r="K20" s="37" t="n">
        <f aca="false">$B$5*K17+(1-$B$5)*J20</f>
        <v>425.44561384</v>
      </c>
      <c r="L20" s="37" t="n">
        <f aca="false">$B$5*L17+(1-$B$5)*K20</f>
        <v>462.811929688</v>
      </c>
      <c r="M20" s="37" t="n">
        <f aca="false">$B$5*M17+(1-$B$5)*L20</f>
        <v>527.9683507816</v>
      </c>
      <c r="N20" s="35" t="n">
        <f aca="false">M20</f>
        <v>527.9683507816</v>
      </c>
      <c r="O20" s="35" t="n">
        <f aca="false">N20</f>
        <v>527.9683507816</v>
      </c>
      <c r="P20" s="35" t="n">
        <f aca="false">O20</f>
        <v>527.9683507816</v>
      </c>
      <c r="Q20" s="38" t="n">
        <f aca="false">IFERROR(AVERAGE(ABS((C17:M17-C20:M20)/C17:M17)),0)</f>
        <v>0</v>
      </c>
    </row>
    <row r="22" customFormat="false" ht="21.75" hidden="false" customHeight="true" outlineLevel="0" collapsed="false">
      <c r="A22" s="14" t="s">
        <v>53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customFormat="false" ht="18" hidden="false" customHeight="true" outlineLevel="0" collapsed="false">
      <c r="A23" s="22" t="s">
        <v>42</v>
      </c>
      <c r="B23" s="23" t="s">
        <v>4</v>
      </c>
      <c r="C23" s="23" t="s">
        <v>5</v>
      </c>
      <c r="D23" s="23" t="s">
        <v>6</v>
      </c>
      <c r="E23" s="23" t="s">
        <v>7</v>
      </c>
      <c r="F23" s="23" t="s">
        <v>8</v>
      </c>
      <c r="G23" s="23" t="s">
        <v>9</v>
      </c>
      <c r="H23" s="23" t="s">
        <v>10</v>
      </c>
      <c r="I23" s="23" t="s">
        <v>11</v>
      </c>
      <c r="J23" s="23" t="s">
        <v>12</v>
      </c>
      <c r="K23" s="23" t="s">
        <v>13</v>
      </c>
      <c r="L23" s="23" t="s">
        <v>14</v>
      </c>
      <c r="M23" s="23" t="s">
        <v>15</v>
      </c>
      <c r="N23" s="24" t="s">
        <v>43</v>
      </c>
      <c r="O23" s="24" t="s">
        <v>44</v>
      </c>
      <c r="P23" s="24" t="s">
        <v>45</v>
      </c>
      <c r="Q23" s="24" t="s">
        <v>46</v>
      </c>
      <c r="R23" s="24" t="s">
        <v>47</v>
      </c>
    </row>
    <row r="24" customFormat="false" ht="18" hidden="false" customHeight="true" outlineLevel="0" collapsed="false">
      <c r="A24" s="25" t="s">
        <v>48</v>
      </c>
      <c r="B24" s="26" t="n">
        <v>280</v>
      </c>
      <c r="C24" s="26" t="n">
        <v>260</v>
      </c>
      <c r="D24" s="26" t="n">
        <v>275</v>
      </c>
      <c r="E24" s="26" t="n">
        <v>310</v>
      </c>
      <c r="F24" s="26" t="n">
        <v>340</v>
      </c>
      <c r="G24" s="26" t="n">
        <v>360</v>
      </c>
      <c r="H24" s="26" t="n">
        <v>370</v>
      </c>
      <c r="I24" s="26" t="n">
        <v>380</v>
      </c>
      <c r="J24" s="26" t="n">
        <v>350</v>
      </c>
      <c r="K24" s="26" t="n">
        <v>400</v>
      </c>
      <c r="L24" s="26" t="n">
        <v>490</v>
      </c>
      <c r="M24" s="26" t="n">
        <v>580</v>
      </c>
      <c r="N24" s="27" t="s">
        <v>29</v>
      </c>
      <c r="O24" s="27" t="s">
        <v>29</v>
      </c>
      <c r="P24" s="27" t="s">
        <v>29</v>
      </c>
      <c r="Q24" s="28" t="s">
        <v>29</v>
      </c>
    </row>
    <row r="25" customFormat="false" ht="18" hidden="false" customHeight="true" outlineLevel="0" collapsed="false">
      <c r="A25" s="29" t="s">
        <v>49</v>
      </c>
      <c r="B25" s="17" t="s">
        <v>29</v>
      </c>
      <c r="C25" s="17" t="s">
        <v>29</v>
      </c>
      <c r="D25" s="30" t="n">
        <f aca="false">AVERAGE(C24:A24)</f>
        <v>270</v>
      </c>
      <c r="E25" s="30" t="n">
        <f aca="false">AVERAGE(D24:B24)</f>
        <v>271.666666666667</v>
      </c>
      <c r="F25" s="30" t="n">
        <f aca="false">AVERAGE(E24:C24)</f>
        <v>281.666666666667</v>
      </c>
      <c r="G25" s="30" t="n">
        <f aca="false">AVERAGE(F24:D24)</f>
        <v>308.333333333333</v>
      </c>
      <c r="H25" s="30" t="n">
        <f aca="false">AVERAGE(G24:E24)</f>
        <v>336.666666666667</v>
      </c>
      <c r="I25" s="30" t="n">
        <f aca="false">AVERAGE(H24:F24)</f>
        <v>356.666666666667</v>
      </c>
      <c r="J25" s="30" t="n">
        <f aca="false">AVERAGE(I24:G24)</f>
        <v>370</v>
      </c>
      <c r="K25" s="30" t="n">
        <f aca="false">AVERAGE(J24:H24)</f>
        <v>366.666666666667</v>
      </c>
      <c r="L25" s="30" t="n">
        <f aca="false">AVERAGE(K24:I24)</f>
        <v>376.666666666667</v>
      </c>
      <c r="M25" s="30" t="n">
        <f aca="false">AVERAGE(L24:J24)</f>
        <v>413.333333333333</v>
      </c>
      <c r="N25" s="31" t="n">
        <f aca="false">ROUND(AVERAGE(K24,L24,M24),1)</f>
        <v>490</v>
      </c>
      <c r="O25" s="31" t="n">
        <f aca="false">ROUND(AVERAGE(L24,M24,N25),1)</f>
        <v>520</v>
      </c>
      <c r="P25" s="31" t="n">
        <f aca="false">ROUND(AVERAGE(M24,N25,O25),1)</f>
        <v>530</v>
      </c>
      <c r="Q25" s="32" t="n">
        <f aca="false">IFERROR(AVERAGE(ABS((D24:M24-D25:M25)/D24:M24)),0)</f>
        <v>0</v>
      </c>
    </row>
    <row r="26" customFormat="false" ht="18" hidden="false" customHeight="true" outlineLevel="0" collapsed="false">
      <c r="A26" s="33" t="s">
        <v>50</v>
      </c>
      <c r="B26" s="28" t="s">
        <v>29</v>
      </c>
      <c r="C26" s="28" t="s">
        <v>29</v>
      </c>
      <c r="D26" s="28" t="s">
        <v>29</v>
      </c>
      <c r="E26" s="28" t="s">
        <v>29</v>
      </c>
      <c r="F26" s="28" t="s">
        <v>29</v>
      </c>
      <c r="G26" s="28" t="s">
        <v>29</v>
      </c>
      <c r="H26" s="34" t="n">
        <f aca="false">AVERAGE(C24:G24)</f>
        <v>309</v>
      </c>
      <c r="I26" s="34" t="n">
        <f aca="false">AVERAGE(D24:H24)</f>
        <v>331</v>
      </c>
      <c r="J26" s="34" t="n">
        <f aca="false">AVERAGE(E24:I24)</f>
        <v>352</v>
      </c>
      <c r="K26" s="34" t="n">
        <f aca="false">AVERAGE(F24:J24)</f>
        <v>360</v>
      </c>
      <c r="L26" s="34" t="n">
        <f aca="false">AVERAGE(G24:K24)</f>
        <v>372</v>
      </c>
      <c r="M26" s="34" t="n">
        <f aca="false">AVERAGE(H24:L24)</f>
        <v>398</v>
      </c>
      <c r="N26" s="35" t="n">
        <f aca="false">AVERAGE(I26:M26)</f>
        <v>362.6</v>
      </c>
      <c r="O26" s="35" t="n">
        <f aca="false">AVERAGE(J26:N26)</f>
        <v>368.92</v>
      </c>
      <c r="P26" s="35" t="n">
        <f aca="false">AVERAGE(K26:O26)</f>
        <v>372.304</v>
      </c>
      <c r="Q26" s="32" t="n">
        <f aca="false">IFERROR(AVERAGE(ABS((H24:M24-H26:M26)/H24:M24)),0)</f>
        <v>0</v>
      </c>
    </row>
    <row r="27" customFormat="false" ht="18" hidden="false" customHeight="true" outlineLevel="0" collapsed="false">
      <c r="A27" s="36" t="s">
        <v>51</v>
      </c>
      <c r="B27" s="37" t="n">
        <f aca="false">B24</f>
        <v>280</v>
      </c>
      <c r="C27" s="37" t="n">
        <f aca="false">$B$5*C24+(1-$B$5)*B27</f>
        <v>274</v>
      </c>
      <c r="D27" s="37" t="n">
        <f aca="false">$B$5*D24+(1-$B$5)*C27</f>
        <v>274.3</v>
      </c>
      <c r="E27" s="37" t="n">
        <f aca="false">$B$5*E24+(1-$B$5)*D27</f>
        <v>285.01</v>
      </c>
      <c r="F27" s="37" t="n">
        <f aca="false">$B$5*F24+(1-$B$5)*E27</f>
        <v>301.507</v>
      </c>
      <c r="G27" s="37" t="n">
        <f aca="false">$B$5*G24+(1-$B$5)*F27</f>
        <v>319.0549</v>
      </c>
      <c r="H27" s="37" t="n">
        <f aca="false">$B$5*H24+(1-$B$5)*G27</f>
        <v>334.33843</v>
      </c>
      <c r="I27" s="37" t="n">
        <f aca="false">$B$5*I24+(1-$B$5)*H27</f>
        <v>348.036901</v>
      </c>
      <c r="J27" s="37" t="n">
        <f aca="false">$B$5*J24+(1-$B$5)*I27</f>
        <v>348.6258307</v>
      </c>
      <c r="K27" s="37" t="n">
        <f aca="false">$B$5*K24+(1-$B$5)*J27</f>
        <v>364.03808149</v>
      </c>
      <c r="L27" s="37" t="n">
        <f aca="false">$B$5*L24+(1-$B$5)*K27</f>
        <v>401.826657043</v>
      </c>
      <c r="M27" s="37" t="n">
        <f aca="false">$B$5*M24+(1-$B$5)*L27</f>
        <v>455.2786599301</v>
      </c>
      <c r="N27" s="35" t="n">
        <f aca="false">M27</f>
        <v>455.2786599301</v>
      </c>
      <c r="O27" s="35" t="n">
        <f aca="false">N27</f>
        <v>455.2786599301</v>
      </c>
      <c r="P27" s="35" t="n">
        <f aca="false">O27</f>
        <v>455.2786599301</v>
      </c>
      <c r="Q27" s="38" t="n">
        <f aca="false">IFERROR(AVERAGE(ABS((C24:M24-C27:M27)/C24:M24)),0)</f>
        <v>0</v>
      </c>
    </row>
    <row r="29" customFormat="false" ht="21.75" hidden="false" customHeight="true" outlineLevel="0" collapsed="false">
      <c r="A29" s="16" t="s">
        <v>54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customFormat="false" ht="18" hidden="false" customHeight="true" outlineLevel="0" collapsed="false">
      <c r="A30" s="22" t="s">
        <v>42</v>
      </c>
      <c r="B30" s="23" t="s">
        <v>4</v>
      </c>
      <c r="C30" s="23" t="s">
        <v>5</v>
      </c>
      <c r="D30" s="23" t="s">
        <v>6</v>
      </c>
      <c r="E30" s="23" t="s">
        <v>7</v>
      </c>
      <c r="F30" s="23" t="s">
        <v>8</v>
      </c>
      <c r="G30" s="23" t="s">
        <v>9</v>
      </c>
      <c r="H30" s="23" t="s">
        <v>10</v>
      </c>
      <c r="I30" s="23" t="s">
        <v>11</v>
      </c>
      <c r="J30" s="23" t="s">
        <v>12</v>
      </c>
      <c r="K30" s="23" t="s">
        <v>13</v>
      </c>
      <c r="L30" s="23" t="s">
        <v>14</v>
      </c>
      <c r="M30" s="23" t="s">
        <v>15</v>
      </c>
      <c r="N30" s="24" t="s">
        <v>43</v>
      </c>
      <c r="O30" s="24" t="s">
        <v>44</v>
      </c>
      <c r="P30" s="24" t="s">
        <v>45</v>
      </c>
      <c r="Q30" s="24" t="s">
        <v>46</v>
      </c>
      <c r="R30" s="24" t="s">
        <v>47</v>
      </c>
    </row>
    <row r="31" customFormat="false" ht="18" hidden="false" customHeight="true" outlineLevel="0" collapsed="false">
      <c r="A31" s="25" t="s">
        <v>48</v>
      </c>
      <c r="B31" s="26" t="n">
        <v>190</v>
      </c>
      <c r="C31" s="26" t="n">
        <v>180</v>
      </c>
      <c r="D31" s="26" t="n">
        <v>210</v>
      </c>
      <c r="E31" s="26" t="n">
        <v>280</v>
      </c>
      <c r="F31" s="26" t="n">
        <v>350</v>
      </c>
      <c r="G31" s="26" t="n">
        <v>420</v>
      </c>
      <c r="H31" s="26" t="n">
        <v>460</v>
      </c>
      <c r="I31" s="26" t="n">
        <v>440</v>
      </c>
      <c r="J31" s="26" t="n">
        <v>380</v>
      </c>
      <c r="K31" s="26" t="n">
        <v>310</v>
      </c>
      <c r="L31" s="26" t="n">
        <v>250</v>
      </c>
      <c r="M31" s="26" t="n">
        <v>220</v>
      </c>
      <c r="N31" s="27" t="s">
        <v>29</v>
      </c>
      <c r="O31" s="27" t="s">
        <v>29</v>
      </c>
      <c r="P31" s="27" t="s">
        <v>29</v>
      </c>
      <c r="Q31" s="28" t="s">
        <v>29</v>
      </c>
    </row>
    <row r="32" customFormat="false" ht="18" hidden="false" customHeight="true" outlineLevel="0" collapsed="false">
      <c r="A32" s="29" t="s">
        <v>49</v>
      </c>
      <c r="B32" s="17" t="s">
        <v>29</v>
      </c>
      <c r="C32" s="17" t="s">
        <v>29</v>
      </c>
      <c r="D32" s="30" t="n">
        <f aca="false">AVERAGE(C31:A31)</f>
        <v>185</v>
      </c>
      <c r="E32" s="30" t="n">
        <f aca="false">AVERAGE(D31:B31)</f>
        <v>193.333333333333</v>
      </c>
      <c r="F32" s="30" t="n">
        <f aca="false">AVERAGE(E31:C31)</f>
        <v>223.333333333333</v>
      </c>
      <c r="G32" s="30" t="n">
        <f aca="false">AVERAGE(F31:D31)</f>
        <v>280</v>
      </c>
      <c r="H32" s="30" t="n">
        <f aca="false">AVERAGE(G31:E31)</f>
        <v>350</v>
      </c>
      <c r="I32" s="30" t="n">
        <f aca="false">AVERAGE(H31:F31)</f>
        <v>410</v>
      </c>
      <c r="J32" s="30" t="n">
        <f aca="false">AVERAGE(I31:G31)</f>
        <v>440</v>
      </c>
      <c r="K32" s="30" t="n">
        <f aca="false">AVERAGE(J31:H31)</f>
        <v>426.666666666667</v>
      </c>
      <c r="L32" s="30" t="n">
        <f aca="false">AVERAGE(K31:I31)</f>
        <v>376.666666666667</v>
      </c>
      <c r="M32" s="30" t="n">
        <f aca="false">AVERAGE(L31:J31)</f>
        <v>313.333333333333</v>
      </c>
      <c r="N32" s="31" t="n">
        <f aca="false">ROUND(AVERAGE(K31,L31,M31),1)</f>
        <v>260</v>
      </c>
      <c r="O32" s="31" t="n">
        <f aca="false">ROUND(AVERAGE(L31,M31,N32),1)</f>
        <v>243.3</v>
      </c>
      <c r="P32" s="31" t="n">
        <f aca="false">ROUND(AVERAGE(M31,N32,O32),1)</f>
        <v>241.1</v>
      </c>
      <c r="Q32" s="32" t="n">
        <f aca="false">IFERROR(AVERAGE(ABS((D31:M31-D32:M32)/D31:M31)),0)</f>
        <v>0</v>
      </c>
    </row>
    <row r="33" customFormat="false" ht="18" hidden="false" customHeight="true" outlineLevel="0" collapsed="false">
      <c r="A33" s="33" t="s">
        <v>50</v>
      </c>
      <c r="B33" s="28" t="s">
        <v>29</v>
      </c>
      <c r="C33" s="28" t="s">
        <v>29</v>
      </c>
      <c r="D33" s="28" t="s">
        <v>29</v>
      </c>
      <c r="E33" s="28" t="s">
        <v>29</v>
      </c>
      <c r="F33" s="28" t="s">
        <v>29</v>
      </c>
      <c r="G33" s="28" t="s">
        <v>29</v>
      </c>
      <c r="H33" s="34" t="n">
        <f aca="false">AVERAGE(C31:G31)</f>
        <v>288</v>
      </c>
      <c r="I33" s="34" t="n">
        <f aca="false">AVERAGE(D31:H31)</f>
        <v>344</v>
      </c>
      <c r="J33" s="34" t="n">
        <f aca="false">AVERAGE(E31:I31)</f>
        <v>390</v>
      </c>
      <c r="K33" s="34" t="n">
        <f aca="false">AVERAGE(F31:J31)</f>
        <v>410</v>
      </c>
      <c r="L33" s="34" t="n">
        <f aca="false">AVERAGE(G31:K31)</f>
        <v>402</v>
      </c>
      <c r="M33" s="34" t="n">
        <f aca="false">AVERAGE(H31:L31)</f>
        <v>368</v>
      </c>
      <c r="N33" s="35" t="n">
        <f aca="false">AVERAGE(I33:M33)</f>
        <v>382.8</v>
      </c>
      <c r="O33" s="35" t="n">
        <f aca="false">AVERAGE(J33:N33)</f>
        <v>390.56</v>
      </c>
      <c r="P33" s="35" t="n">
        <f aca="false">AVERAGE(K33:O33)</f>
        <v>390.672</v>
      </c>
      <c r="Q33" s="32" t="n">
        <f aca="false">IFERROR(AVERAGE(ABS((H31:M31-H33:M33)/H31:M31)),0)</f>
        <v>0</v>
      </c>
    </row>
    <row r="34" customFormat="false" ht="18" hidden="false" customHeight="true" outlineLevel="0" collapsed="false">
      <c r="A34" s="36" t="s">
        <v>51</v>
      </c>
      <c r="B34" s="37" t="n">
        <f aca="false">B31</f>
        <v>190</v>
      </c>
      <c r="C34" s="37" t="n">
        <f aca="false">$B$5*C31+(1-$B$5)*B34</f>
        <v>187</v>
      </c>
      <c r="D34" s="37" t="n">
        <f aca="false">$B$5*D31+(1-$B$5)*C34</f>
        <v>193.9</v>
      </c>
      <c r="E34" s="37" t="n">
        <f aca="false">$B$5*E31+(1-$B$5)*D34</f>
        <v>219.73</v>
      </c>
      <c r="F34" s="37" t="n">
        <f aca="false">$B$5*F31+(1-$B$5)*E34</f>
        <v>258.811</v>
      </c>
      <c r="G34" s="37" t="n">
        <f aca="false">$B$5*G31+(1-$B$5)*F34</f>
        <v>307.1677</v>
      </c>
      <c r="H34" s="37" t="n">
        <f aca="false">$B$5*H31+(1-$B$5)*G34</f>
        <v>353.01739</v>
      </c>
      <c r="I34" s="37" t="n">
        <f aca="false">$B$5*I31+(1-$B$5)*H34</f>
        <v>379.112173</v>
      </c>
      <c r="J34" s="37" t="n">
        <f aca="false">$B$5*J31+(1-$B$5)*I34</f>
        <v>379.3785211</v>
      </c>
      <c r="K34" s="37" t="n">
        <f aca="false">$B$5*K31+(1-$B$5)*J34</f>
        <v>358.56496477</v>
      </c>
      <c r="L34" s="37" t="n">
        <f aca="false">$B$5*L31+(1-$B$5)*K34</f>
        <v>325.995475339</v>
      </c>
      <c r="M34" s="37" t="n">
        <f aca="false">$B$5*M31+(1-$B$5)*L34</f>
        <v>294.1968327373</v>
      </c>
      <c r="N34" s="35" t="n">
        <f aca="false">M34</f>
        <v>294.1968327373</v>
      </c>
      <c r="O34" s="35" t="n">
        <f aca="false">N34</f>
        <v>294.1968327373</v>
      </c>
      <c r="P34" s="35" t="n">
        <f aca="false">O34</f>
        <v>294.1968327373</v>
      </c>
      <c r="Q34" s="38" t="n">
        <f aca="false">IFERROR(AVERAGE(ABS((C31:M31-C34:M34)/C31:M31)),0)</f>
        <v>0</v>
      </c>
    </row>
    <row r="36" customFormat="false" ht="21.75" hidden="false" customHeight="true" outlineLevel="0" collapsed="false">
      <c r="A36" s="14" t="s">
        <v>55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customFormat="false" ht="18" hidden="false" customHeight="true" outlineLevel="0" collapsed="false">
      <c r="A37" s="22" t="s">
        <v>42</v>
      </c>
      <c r="B37" s="23" t="s">
        <v>4</v>
      </c>
      <c r="C37" s="23" t="s">
        <v>5</v>
      </c>
      <c r="D37" s="23" t="s">
        <v>6</v>
      </c>
      <c r="E37" s="23" t="s">
        <v>7</v>
      </c>
      <c r="F37" s="23" t="s">
        <v>8</v>
      </c>
      <c r="G37" s="23" t="s">
        <v>9</v>
      </c>
      <c r="H37" s="23" t="s">
        <v>10</v>
      </c>
      <c r="I37" s="23" t="s">
        <v>11</v>
      </c>
      <c r="J37" s="23" t="s">
        <v>12</v>
      </c>
      <c r="K37" s="23" t="s">
        <v>13</v>
      </c>
      <c r="L37" s="23" t="s">
        <v>14</v>
      </c>
      <c r="M37" s="23" t="s">
        <v>15</v>
      </c>
      <c r="N37" s="24" t="s">
        <v>43</v>
      </c>
      <c r="O37" s="24" t="s">
        <v>44</v>
      </c>
      <c r="P37" s="24" t="s">
        <v>45</v>
      </c>
      <c r="Q37" s="24" t="s">
        <v>46</v>
      </c>
      <c r="R37" s="24" t="s">
        <v>47</v>
      </c>
    </row>
    <row r="38" customFormat="false" ht="18" hidden="false" customHeight="true" outlineLevel="0" collapsed="false">
      <c r="A38" s="25" t="s">
        <v>48</v>
      </c>
      <c r="B38" s="26" t="n">
        <v>350</v>
      </c>
      <c r="C38" s="26" t="n">
        <v>330</v>
      </c>
      <c r="D38" s="26" t="n">
        <v>355</v>
      </c>
      <c r="E38" s="26" t="n">
        <v>370</v>
      </c>
      <c r="F38" s="26" t="n">
        <v>390</v>
      </c>
      <c r="G38" s="26" t="n">
        <v>410</v>
      </c>
      <c r="H38" s="26" t="n">
        <v>420</v>
      </c>
      <c r="I38" s="26" t="n">
        <v>430</v>
      </c>
      <c r="J38" s="26" t="n">
        <v>415</v>
      </c>
      <c r="K38" s="26" t="n">
        <v>440</v>
      </c>
      <c r="L38" s="26" t="n">
        <v>510</v>
      </c>
      <c r="M38" s="26" t="n">
        <v>560</v>
      </c>
      <c r="N38" s="27" t="s">
        <v>29</v>
      </c>
      <c r="O38" s="27" t="s">
        <v>29</v>
      </c>
      <c r="P38" s="27" t="s">
        <v>29</v>
      </c>
      <c r="Q38" s="28" t="s">
        <v>29</v>
      </c>
    </row>
    <row r="39" customFormat="false" ht="18" hidden="false" customHeight="true" outlineLevel="0" collapsed="false">
      <c r="A39" s="29" t="s">
        <v>49</v>
      </c>
      <c r="B39" s="17" t="s">
        <v>29</v>
      </c>
      <c r="C39" s="17" t="s">
        <v>29</v>
      </c>
      <c r="D39" s="30" t="n">
        <f aca="false">AVERAGE(C38:A38)</f>
        <v>340</v>
      </c>
      <c r="E39" s="30" t="n">
        <f aca="false">AVERAGE(D38:B38)</f>
        <v>345</v>
      </c>
      <c r="F39" s="30" t="n">
        <f aca="false">AVERAGE(E38:C38)</f>
        <v>351.666666666667</v>
      </c>
      <c r="G39" s="30" t="n">
        <f aca="false">AVERAGE(F38:D38)</f>
        <v>371.666666666667</v>
      </c>
      <c r="H39" s="30" t="n">
        <f aca="false">AVERAGE(G38:E38)</f>
        <v>390</v>
      </c>
      <c r="I39" s="30" t="n">
        <f aca="false">AVERAGE(H38:F38)</f>
        <v>406.666666666667</v>
      </c>
      <c r="J39" s="30" t="n">
        <f aca="false">AVERAGE(I38:G38)</f>
        <v>420</v>
      </c>
      <c r="K39" s="30" t="n">
        <f aca="false">AVERAGE(J38:H38)</f>
        <v>421.666666666667</v>
      </c>
      <c r="L39" s="30" t="n">
        <f aca="false">AVERAGE(K38:I38)</f>
        <v>428.333333333333</v>
      </c>
      <c r="M39" s="30" t="n">
        <f aca="false">AVERAGE(L38:J38)</f>
        <v>455</v>
      </c>
      <c r="N39" s="31" t="n">
        <f aca="false">ROUND(AVERAGE(K38,L38,M38),1)</f>
        <v>503.3</v>
      </c>
      <c r="O39" s="31" t="n">
        <f aca="false">ROUND(AVERAGE(L38,M38,N39),1)</f>
        <v>524.4</v>
      </c>
      <c r="P39" s="31" t="n">
        <f aca="false">ROUND(AVERAGE(M38,N39,O39),1)</f>
        <v>529.2</v>
      </c>
      <c r="Q39" s="32" t="n">
        <f aca="false">IFERROR(AVERAGE(ABS((D38:M38-D39:M39)/D38:M38)),0)</f>
        <v>0</v>
      </c>
    </row>
    <row r="40" customFormat="false" ht="18" hidden="false" customHeight="true" outlineLevel="0" collapsed="false">
      <c r="A40" s="33" t="s">
        <v>50</v>
      </c>
      <c r="B40" s="28" t="s">
        <v>29</v>
      </c>
      <c r="C40" s="28" t="s">
        <v>29</v>
      </c>
      <c r="D40" s="28" t="s">
        <v>29</v>
      </c>
      <c r="E40" s="28" t="s">
        <v>29</v>
      </c>
      <c r="F40" s="28" t="s">
        <v>29</v>
      </c>
      <c r="G40" s="28" t="s">
        <v>29</v>
      </c>
      <c r="H40" s="34" t="n">
        <f aca="false">AVERAGE(C38:G38)</f>
        <v>371</v>
      </c>
      <c r="I40" s="34" t="n">
        <f aca="false">AVERAGE(D38:H38)</f>
        <v>389</v>
      </c>
      <c r="J40" s="34" t="n">
        <f aca="false">AVERAGE(E38:I38)</f>
        <v>404</v>
      </c>
      <c r="K40" s="34" t="n">
        <f aca="false">AVERAGE(F38:J38)</f>
        <v>413</v>
      </c>
      <c r="L40" s="34" t="n">
        <f aca="false">AVERAGE(G38:K38)</f>
        <v>423</v>
      </c>
      <c r="M40" s="34" t="n">
        <f aca="false">AVERAGE(H38:L38)</f>
        <v>443</v>
      </c>
      <c r="N40" s="35" t="n">
        <f aca="false">AVERAGE(I40:M40)</f>
        <v>414.4</v>
      </c>
      <c r="O40" s="35" t="n">
        <f aca="false">AVERAGE(J40:N40)</f>
        <v>419.48</v>
      </c>
      <c r="P40" s="35" t="n">
        <f aca="false">AVERAGE(K40:O40)</f>
        <v>422.576</v>
      </c>
      <c r="Q40" s="32" t="n">
        <f aca="false">IFERROR(AVERAGE(ABS((H38:M38-H40:M40)/H38:M38)),0)</f>
        <v>0</v>
      </c>
    </row>
    <row r="41" customFormat="false" ht="18" hidden="false" customHeight="true" outlineLevel="0" collapsed="false">
      <c r="A41" s="36" t="s">
        <v>51</v>
      </c>
      <c r="B41" s="37" t="n">
        <f aca="false">B38</f>
        <v>350</v>
      </c>
      <c r="C41" s="37" t="n">
        <f aca="false">$B$5*C38+(1-$B$5)*B41</f>
        <v>344</v>
      </c>
      <c r="D41" s="37" t="n">
        <f aca="false">$B$5*D38+(1-$B$5)*C41</f>
        <v>347.3</v>
      </c>
      <c r="E41" s="37" t="n">
        <f aca="false">$B$5*E38+(1-$B$5)*D41</f>
        <v>354.11</v>
      </c>
      <c r="F41" s="37" t="n">
        <f aca="false">$B$5*F38+(1-$B$5)*E41</f>
        <v>364.877</v>
      </c>
      <c r="G41" s="37" t="n">
        <f aca="false">$B$5*G38+(1-$B$5)*F41</f>
        <v>378.4139</v>
      </c>
      <c r="H41" s="37" t="n">
        <f aca="false">$B$5*H38+(1-$B$5)*G41</f>
        <v>390.88973</v>
      </c>
      <c r="I41" s="37" t="n">
        <f aca="false">$B$5*I38+(1-$B$5)*H41</f>
        <v>402.622811</v>
      </c>
      <c r="J41" s="37" t="n">
        <f aca="false">$B$5*J38+(1-$B$5)*I41</f>
        <v>406.3359677</v>
      </c>
      <c r="K41" s="37" t="n">
        <f aca="false">$B$5*K38+(1-$B$5)*J41</f>
        <v>416.43517739</v>
      </c>
      <c r="L41" s="37" t="n">
        <f aca="false">$B$5*L38+(1-$B$5)*K41</f>
        <v>444.504624173</v>
      </c>
      <c r="M41" s="37" t="n">
        <f aca="false">$B$5*M38+(1-$B$5)*L41</f>
        <v>479.1532369211</v>
      </c>
      <c r="N41" s="35" t="n">
        <f aca="false">M41</f>
        <v>479.1532369211</v>
      </c>
      <c r="O41" s="35" t="n">
        <f aca="false">N41</f>
        <v>479.1532369211</v>
      </c>
      <c r="P41" s="35" t="n">
        <f aca="false">O41</f>
        <v>479.1532369211</v>
      </c>
      <c r="Q41" s="38" t="n">
        <f aca="false">IFERROR(AVERAGE(ABS((C38:M38-C41:M41)/C38:M38)),0)</f>
        <v>0</v>
      </c>
    </row>
  </sheetData>
  <mergeCells count="8">
    <mergeCell ref="A1:Q1"/>
    <mergeCell ref="A2:Q2"/>
    <mergeCell ref="A4:Q4"/>
    <mergeCell ref="A8:Q8"/>
    <mergeCell ref="A15:Q15"/>
    <mergeCell ref="A22:Q22"/>
    <mergeCell ref="A29:Q29"/>
    <mergeCell ref="A36:Q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3" min="2" style="1" width="14"/>
    <col collapsed="false" customWidth="true" hidden="false" outlineLevel="0" max="14" min="14" style="1" width="20"/>
  </cols>
  <sheetData>
    <row r="1" customFormat="false" ht="31.5" hidden="false" customHeight="true" outlineLevel="0" collapsed="false">
      <c r="A1" s="2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8" hidden="false" customHeight="true" outlineLevel="0" collapsed="false">
      <c r="A2" s="3" t="s">
        <v>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1.75" hidden="false" customHeight="true" outlineLevel="0" collapsed="false">
      <c r="A4" s="16" t="s">
        <v>58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customFormat="false" ht="19.5" hidden="false" customHeight="true" outlineLevel="0" collapsed="false">
      <c r="A5" s="19" t="s">
        <v>59</v>
      </c>
      <c r="B5" s="20" t="n">
        <v>250</v>
      </c>
      <c r="D5" s="19" t="s">
        <v>60</v>
      </c>
      <c r="E5" s="20" t="n">
        <v>1.65</v>
      </c>
      <c r="G5" s="19" t="s">
        <v>61</v>
      </c>
      <c r="H5" s="20" t="n">
        <v>14</v>
      </c>
      <c r="J5" s="19" t="s">
        <v>62</v>
      </c>
      <c r="K5" s="20" t="n">
        <v>2500</v>
      </c>
    </row>
    <row r="7" customFormat="false" ht="21.75" hidden="false" customHeight="true" outlineLevel="0" collapsed="false">
      <c r="A7" s="22" t="s">
        <v>63</v>
      </c>
      <c r="B7" s="22" t="s">
        <v>64</v>
      </c>
      <c r="C7" s="22" t="s">
        <v>65</v>
      </c>
      <c r="D7" s="22" t="s">
        <v>66</v>
      </c>
      <c r="E7" s="22" t="s">
        <v>67</v>
      </c>
      <c r="F7" s="22" t="s">
        <v>68</v>
      </c>
      <c r="G7" s="22" t="s">
        <v>69</v>
      </c>
      <c r="H7" s="22" t="s">
        <v>70</v>
      </c>
      <c r="I7" s="22" t="s">
        <v>71</v>
      </c>
      <c r="J7" s="22" t="s">
        <v>72</v>
      </c>
      <c r="K7" s="22" t="s">
        <v>73</v>
      </c>
      <c r="L7" s="22" t="s">
        <v>74</v>
      </c>
      <c r="M7" s="22" t="s">
        <v>75</v>
      </c>
      <c r="N7" s="22" t="s">
        <v>76</v>
      </c>
    </row>
    <row r="8" customFormat="false" ht="19.5" hidden="false" customHeight="true" outlineLevel="0" collapsed="false">
      <c r="A8" s="7" t="s">
        <v>17</v>
      </c>
      <c r="B8" s="39" t="n">
        <v>6060</v>
      </c>
      <c r="C8" s="34" t="n">
        <f aca="false">B8/12</f>
        <v>505</v>
      </c>
      <c r="D8" s="39" t="n">
        <v>88</v>
      </c>
      <c r="E8" s="39" t="n">
        <v>4500</v>
      </c>
      <c r="F8" s="34" t="n">
        <f aca="false">E8*0.2</f>
        <v>900</v>
      </c>
      <c r="G8" s="40" t="n">
        <f aca="false">IFERROR(ROUND(SQRT(2*B8*K5/F8),0),0)</f>
        <v>183</v>
      </c>
      <c r="H8" s="34" t="n">
        <f aca="false">B8/B5</f>
        <v>24.24</v>
      </c>
      <c r="I8" s="41" t="n">
        <f aca="false">ROUND(E5*D8*SQRT(H5/30),0)</f>
        <v>99</v>
      </c>
      <c r="J8" s="42" t="n">
        <f aca="false">ROUND(H8*H5+I8,0)</f>
        <v>438</v>
      </c>
      <c r="K8" s="43" t="n">
        <f aca="false">(G8/2+I8)*F8</f>
        <v>171450</v>
      </c>
      <c r="L8" s="43" t="n">
        <f aca="false">IFERROR((B8/G8)*K5,0)</f>
        <v>82786.8852459016</v>
      </c>
      <c r="M8" s="44" t="n">
        <f aca="false">K8+L8</f>
        <v>254236.885245902</v>
      </c>
      <c r="N8" s="45" t="str">
        <f aca="false">IF(850&gt;=J8,"✅ Adequate","⚠️ Reorder Now")</f>
        <v>✅ Adequate</v>
      </c>
    </row>
    <row r="9" customFormat="false" ht="19.5" hidden="false" customHeight="true" outlineLevel="0" collapsed="false">
      <c r="A9" s="11" t="s">
        <v>19</v>
      </c>
      <c r="B9" s="46" t="n">
        <v>4980</v>
      </c>
      <c r="C9" s="47" t="n">
        <f aca="false">B9/12</f>
        <v>415</v>
      </c>
      <c r="D9" s="46" t="n">
        <v>72</v>
      </c>
      <c r="E9" s="46" t="n">
        <v>850</v>
      </c>
      <c r="F9" s="47" t="n">
        <f aca="false">E9*0.25</f>
        <v>212.5</v>
      </c>
      <c r="G9" s="40" t="n">
        <f aca="false">IFERROR(ROUND(SQRT(2*B9*K5/F9),0),0)</f>
        <v>342</v>
      </c>
      <c r="H9" s="47" t="n">
        <f aca="false">B9/B5</f>
        <v>19.92</v>
      </c>
      <c r="I9" s="41" t="n">
        <f aca="false">ROUND(E5*D9*SQRT(H5/30),0)</f>
        <v>81</v>
      </c>
      <c r="J9" s="42" t="n">
        <f aca="false">ROUND(H9*H5+I9,0)</f>
        <v>360</v>
      </c>
      <c r="K9" s="48" t="n">
        <f aca="false">(G9/2+I9)*F9</f>
        <v>53550</v>
      </c>
      <c r="L9" s="48" t="n">
        <f aca="false">IFERROR((B9/G9)*K5,0)</f>
        <v>36403.5087719298</v>
      </c>
      <c r="M9" s="44" t="n">
        <f aca="false">K9+L9</f>
        <v>89953.5087719298</v>
      </c>
      <c r="N9" s="49" t="str">
        <f aca="false">IF(420&gt;=J9,"✅ Adequate","⚠️ Reorder Now")</f>
        <v>✅ Adequate</v>
      </c>
    </row>
    <row r="10" customFormat="false" ht="19.5" hidden="false" customHeight="true" outlineLevel="0" collapsed="false">
      <c r="A10" s="7" t="s">
        <v>21</v>
      </c>
      <c r="B10" s="39" t="n">
        <v>4200</v>
      </c>
      <c r="C10" s="34" t="n">
        <f aca="false">B10/12</f>
        <v>350</v>
      </c>
      <c r="D10" s="39" t="n">
        <v>55</v>
      </c>
      <c r="E10" s="39" t="n">
        <v>1200</v>
      </c>
      <c r="F10" s="34" t="n">
        <f aca="false">E10*0.22</f>
        <v>264</v>
      </c>
      <c r="G10" s="40" t="n">
        <f aca="false">IFERROR(ROUND(SQRT(2*B10*K5/F10),0),0)</f>
        <v>282</v>
      </c>
      <c r="H10" s="34" t="n">
        <f aca="false">B10/B5</f>
        <v>16.8</v>
      </c>
      <c r="I10" s="41" t="n">
        <f aca="false">ROUND(E5*D10*SQRT(H5/30),0)</f>
        <v>62</v>
      </c>
      <c r="J10" s="42" t="n">
        <f aca="false">ROUND(H10*H5+I10,0)</f>
        <v>297</v>
      </c>
      <c r="K10" s="43" t="n">
        <f aca="false">(G10/2+I10)*F10</f>
        <v>53592</v>
      </c>
      <c r="L10" s="43" t="n">
        <f aca="false">IFERROR((B10/G10)*K5,0)</f>
        <v>37234.0425531915</v>
      </c>
      <c r="M10" s="44" t="n">
        <f aca="false">K10+L10</f>
        <v>90826.0425531915</v>
      </c>
      <c r="N10" s="45" t="str">
        <f aca="false">IF(320&gt;=J10,"✅ Adequate","⚠️ Reorder Now")</f>
        <v>✅ Adequate</v>
      </c>
    </row>
    <row r="11" customFormat="false" ht="19.5" hidden="false" customHeight="true" outlineLevel="0" collapsed="false">
      <c r="A11" s="11" t="s">
        <v>23</v>
      </c>
      <c r="B11" s="46" t="n">
        <v>3690</v>
      </c>
      <c r="C11" s="47" t="n">
        <f aca="false">B11/12</f>
        <v>307.5</v>
      </c>
      <c r="D11" s="46" t="n">
        <v>100</v>
      </c>
      <c r="E11" s="46" t="n">
        <v>2200</v>
      </c>
      <c r="F11" s="47" t="n">
        <f aca="false">E11*0.18</f>
        <v>396</v>
      </c>
      <c r="G11" s="40" t="n">
        <f aca="false">IFERROR(ROUND(SQRT(2*B11*K5/F11),0),0)</f>
        <v>216</v>
      </c>
      <c r="H11" s="47" t="n">
        <f aca="false">B11/B5</f>
        <v>14.76</v>
      </c>
      <c r="I11" s="41" t="n">
        <f aca="false">ROUND(E5*D11*SQRT(H5/30),0)</f>
        <v>113</v>
      </c>
      <c r="J11" s="42" t="n">
        <f aca="false">ROUND(H11*H5+I11,0)</f>
        <v>320</v>
      </c>
      <c r="K11" s="48" t="n">
        <f aca="false">(G11/2+I11)*F11</f>
        <v>87516</v>
      </c>
      <c r="L11" s="48" t="n">
        <f aca="false">IFERROR((B11/G11)*K5,0)</f>
        <v>42708.3333333333</v>
      </c>
      <c r="M11" s="44" t="n">
        <f aca="false">K11+L11</f>
        <v>130224.333333333</v>
      </c>
      <c r="N11" s="49" t="str">
        <f aca="false">IF(250&gt;=J11,"✅ Adequate","⚠️ Reorder Now")</f>
        <v>⚠️ Reorder Now</v>
      </c>
    </row>
    <row r="12" customFormat="false" ht="19.5" hidden="false" customHeight="true" outlineLevel="0" collapsed="false">
      <c r="A12" s="7" t="s">
        <v>25</v>
      </c>
      <c r="B12" s="39" t="n">
        <v>4980</v>
      </c>
      <c r="C12" s="34" t="n">
        <f aca="false">B12/12</f>
        <v>415</v>
      </c>
      <c r="D12" s="39" t="n">
        <v>48</v>
      </c>
      <c r="E12" s="39" t="n">
        <v>650</v>
      </c>
      <c r="F12" s="34" t="n">
        <f aca="false">E12*0.28</f>
        <v>182</v>
      </c>
      <c r="G12" s="40" t="n">
        <f aca="false">IFERROR(ROUND(SQRT(2*B12*K5/F12),0),0)</f>
        <v>370</v>
      </c>
      <c r="H12" s="34" t="n">
        <f aca="false">B12/B5</f>
        <v>19.92</v>
      </c>
      <c r="I12" s="41" t="n">
        <f aca="false">ROUND(E5*D12*SQRT(H5/30),0)</f>
        <v>54</v>
      </c>
      <c r="J12" s="42" t="n">
        <f aca="false">ROUND(H12*H5+I12,0)</f>
        <v>333</v>
      </c>
      <c r="K12" s="43" t="n">
        <f aca="false">(G12/2+I12)*F12</f>
        <v>43498</v>
      </c>
      <c r="L12" s="43" t="n">
        <f aca="false">IFERROR((B12/G12)*K5,0)</f>
        <v>33648.6486486487</v>
      </c>
      <c r="M12" s="44" t="n">
        <f aca="false">K12+L12</f>
        <v>77146.6486486487</v>
      </c>
      <c r="N12" s="45" t="str">
        <f aca="false">IF(510&gt;=J12,"✅ Adequate","⚠️ Reorder Now")</f>
        <v>✅ Adequate</v>
      </c>
    </row>
    <row r="13" customFormat="false" ht="19.5" hidden="false" customHeight="true" outlineLevel="0" collapsed="false">
      <c r="A13" s="50" t="s">
        <v>77</v>
      </c>
      <c r="B13" s="51" t="n">
        <f aca="false">SUM(B8:B12)</f>
        <v>23910</v>
      </c>
      <c r="C13" s="52" t="s">
        <v>29</v>
      </c>
      <c r="D13" s="52" t="s">
        <v>29</v>
      </c>
      <c r="E13" s="52" t="s">
        <v>29</v>
      </c>
      <c r="F13" s="52" t="s">
        <v>29</v>
      </c>
      <c r="G13" s="52" t="s">
        <v>29</v>
      </c>
      <c r="H13" s="52" t="s">
        <v>29</v>
      </c>
      <c r="I13" s="52" t="s">
        <v>29</v>
      </c>
      <c r="J13" s="52" t="s">
        <v>29</v>
      </c>
      <c r="K13" s="51" t="n">
        <f aca="false">SUM(K8:K12)</f>
        <v>409606</v>
      </c>
      <c r="L13" s="51" t="n">
        <f aca="false">SUM(L8:L12)</f>
        <v>232781.418553005</v>
      </c>
      <c r="M13" s="51" t="n">
        <f aca="false">SUM(M8:M12)</f>
        <v>642387.418553005</v>
      </c>
      <c r="N13" s="52" t="s">
        <v>29</v>
      </c>
    </row>
  </sheetData>
  <mergeCells count="3">
    <mergeCell ref="A1:N1"/>
    <mergeCell ref="A2:N2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2" min="2" style="1" width="14"/>
  </cols>
  <sheetData>
    <row r="1" customFormat="false" ht="31.5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5.5" hidden="false" customHeight="true" outlineLevel="0" collapsed="false">
      <c r="A4" s="22" t="s">
        <v>63</v>
      </c>
      <c r="B4" s="22" t="s">
        <v>80</v>
      </c>
      <c r="C4" s="22" t="s">
        <v>72</v>
      </c>
      <c r="D4" s="22" t="s">
        <v>81</v>
      </c>
      <c r="E4" s="22" t="s">
        <v>69</v>
      </c>
      <c r="F4" s="22" t="s">
        <v>82</v>
      </c>
      <c r="G4" s="22" t="s">
        <v>83</v>
      </c>
      <c r="H4" s="22" t="s">
        <v>84</v>
      </c>
      <c r="I4" s="22" t="s">
        <v>85</v>
      </c>
      <c r="J4" s="22" t="s">
        <v>86</v>
      </c>
      <c r="K4" s="22" t="s">
        <v>87</v>
      </c>
    </row>
    <row r="5" customFormat="false" ht="21.75" hidden="false" customHeight="true" outlineLevel="0" collapsed="false">
      <c r="A5" s="11" t="s">
        <v>17</v>
      </c>
      <c r="B5" s="53" t="n">
        <v>850</v>
      </c>
      <c r="C5" s="54" t="n">
        <f aca="false">Inventory_Optimization!J8</f>
        <v>438</v>
      </c>
      <c r="D5" s="54" t="n">
        <f aca="false">Inventory_Optimization!I8</f>
        <v>99</v>
      </c>
      <c r="E5" s="54" t="n">
        <f aca="false">Inventory_Optimization!G8</f>
        <v>183</v>
      </c>
      <c r="F5" s="55" t="n">
        <f aca="false">ROUND(B5/24.24,0)</f>
        <v>35</v>
      </c>
      <c r="G5" s="56" t="n">
        <f aca="false">IFERROR(MAX(0,1-(B5/C5)),1)</f>
        <v>0</v>
      </c>
      <c r="H5" s="48" t="n">
        <f aca="false">MAX(0,B5-(C5+E5))</f>
        <v>229</v>
      </c>
      <c r="I5" s="57" t="n">
        <f aca="false">H5*900</f>
        <v>206100</v>
      </c>
      <c r="J5" s="49" t="str">
        <f aca="false">IF(B5&lt;D5,"🔴 CRITICAL – Below Safety Stock",IF(B5&lt;C5,"🟠 REORDER NOW",IF(H5&gt;0,"🟡 EXCESS STOCK","🟢 HEALTHY")))</f>
        <v>🟡 EXCESS STOCK</v>
      </c>
      <c r="K5" s="58" t="str">
        <f aca="false">IF(B5&lt;D5,"Place emergency order immediately",IF(B5&lt;C5,"Place standard replenishment order",IF(H5&gt;0,"Review demand; consider promotion","No action needed")))</f>
        <v>Review demand; consider promotion</v>
      </c>
    </row>
    <row r="6" customFormat="false" ht="21.75" hidden="false" customHeight="true" outlineLevel="0" collapsed="false">
      <c r="A6" s="7" t="s">
        <v>19</v>
      </c>
      <c r="B6" s="53" t="n">
        <v>420</v>
      </c>
      <c r="C6" s="59" t="n">
        <f aca="false">Inventory_Optimization!J9</f>
        <v>360</v>
      </c>
      <c r="D6" s="59" t="n">
        <f aca="false">Inventory_Optimization!I9</f>
        <v>81</v>
      </c>
      <c r="E6" s="59" t="n">
        <f aca="false">Inventory_Optimization!G9</f>
        <v>342</v>
      </c>
      <c r="F6" s="60" t="n">
        <f aca="false">ROUND(B6/19.92,0)</f>
        <v>21</v>
      </c>
      <c r="G6" s="61" t="n">
        <f aca="false">IFERROR(MAX(0,1-(B6/C6)),1)</f>
        <v>0</v>
      </c>
      <c r="H6" s="43" t="n">
        <f aca="false">MAX(0,B6-(C6+E6))</f>
        <v>0</v>
      </c>
      <c r="I6" s="57" t="n">
        <f aca="false">H6*212.5</f>
        <v>0</v>
      </c>
      <c r="J6" s="45" t="str">
        <f aca="false">IF(B6&lt;D6,"🔴 CRITICAL – Below Safety Stock",IF(B6&lt;C6,"🟠 REORDER NOW",IF(H6&gt;0,"🟡 EXCESS STOCK","🟢 HEALTHY")))</f>
        <v>🟢 HEALTHY</v>
      </c>
      <c r="K6" s="62" t="str">
        <f aca="false">IF(B6&lt;D6,"Place emergency order immediately",IF(B6&lt;C6,"Place standard replenishment order",IF(H6&gt;0,"Review demand; consider promotion","No action needed")))</f>
        <v>No action needed</v>
      </c>
    </row>
    <row r="7" customFormat="false" ht="21.75" hidden="false" customHeight="true" outlineLevel="0" collapsed="false">
      <c r="A7" s="11" t="s">
        <v>21</v>
      </c>
      <c r="B7" s="53" t="n">
        <v>320</v>
      </c>
      <c r="C7" s="54" t="n">
        <f aca="false">Inventory_Optimization!J10</f>
        <v>297</v>
      </c>
      <c r="D7" s="54" t="n">
        <f aca="false">Inventory_Optimization!I10</f>
        <v>62</v>
      </c>
      <c r="E7" s="54" t="n">
        <f aca="false">Inventory_Optimization!G10</f>
        <v>282</v>
      </c>
      <c r="F7" s="55" t="n">
        <f aca="false">ROUND(B7/16.8,0)</f>
        <v>19</v>
      </c>
      <c r="G7" s="56" t="n">
        <f aca="false">IFERROR(MAX(0,1-(B7/C7)),1)</f>
        <v>0</v>
      </c>
      <c r="H7" s="48" t="n">
        <f aca="false">MAX(0,B7-(C7+E7))</f>
        <v>0</v>
      </c>
      <c r="I7" s="57" t="n">
        <f aca="false">H7*264</f>
        <v>0</v>
      </c>
      <c r="J7" s="49" t="str">
        <f aca="false">IF(B7&lt;D7,"🔴 CRITICAL – Below Safety Stock",IF(B7&lt;C7,"🟠 REORDER NOW",IF(H7&gt;0,"🟡 EXCESS STOCK","🟢 HEALTHY")))</f>
        <v>🟢 HEALTHY</v>
      </c>
      <c r="K7" s="58" t="str">
        <f aca="false">IF(B7&lt;D7,"Place emergency order immediately",IF(B7&lt;C7,"Place standard replenishment order",IF(H7&gt;0,"Review demand; consider promotion","No action needed")))</f>
        <v>No action needed</v>
      </c>
    </row>
    <row r="8" customFormat="false" ht="21.75" hidden="false" customHeight="true" outlineLevel="0" collapsed="false">
      <c r="A8" s="7" t="s">
        <v>23</v>
      </c>
      <c r="B8" s="53" t="n">
        <v>250</v>
      </c>
      <c r="C8" s="59" t="n">
        <f aca="false">Inventory_Optimization!J11</f>
        <v>320</v>
      </c>
      <c r="D8" s="59" t="n">
        <f aca="false">Inventory_Optimization!I11</f>
        <v>113</v>
      </c>
      <c r="E8" s="59" t="n">
        <f aca="false">Inventory_Optimization!G11</f>
        <v>216</v>
      </c>
      <c r="F8" s="60" t="n">
        <f aca="false">ROUND(B8/14.76,0)</f>
        <v>17</v>
      </c>
      <c r="G8" s="61" t="n">
        <f aca="false">IFERROR(MAX(0,1-(B8/C8)),1)</f>
        <v>0.21875</v>
      </c>
      <c r="H8" s="43" t="n">
        <f aca="false">MAX(0,B8-(C8+E8))</f>
        <v>0</v>
      </c>
      <c r="I8" s="57" t="n">
        <f aca="false">H8*396</f>
        <v>0</v>
      </c>
      <c r="J8" s="45" t="str">
        <f aca="false">IF(B8&lt;D8,"🔴 CRITICAL – Below Safety Stock",IF(B8&lt;C8,"🟠 REORDER NOW",IF(H8&gt;0,"🟡 EXCESS STOCK","🟢 HEALTHY")))</f>
        <v>🟠 REORDER NOW</v>
      </c>
      <c r="K8" s="62" t="str">
        <f aca="false">IF(B8&lt;D8,"Place emergency order immediately",IF(B8&lt;C8,"Place standard replenishment order",IF(H8&gt;0,"Review demand; consider promotion","No action needed")))</f>
        <v>Place standard replenishment order</v>
      </c>
    </row>
    <row r="9" customFormat="false" ht="21.75" hidden="false" customHeight="true" outlineLevel="0" collapsed="false">
      <c r="A9" s="11" t="s">
        <v>25</v>
      </c>
      <c r="B9" s="53" t="n">
        <v>510</v>
      </c>
      <c r="C9" s="54" t="n">
        <f aca="false">Inventory_Optimization!J12</f>
        <v>333</v>
      </c>
      <c r="D9" s="54" t="n">
        <f aca="false">Inventory_Optimization!I12</f>
        <v>54</v>
      </c>
      <c r="E9" s="54" t="n">
        <f aca="false">Inventory_Optimization!G12</f>
        <v>370</v>
      </c>
      <c r="F9" s="55" t="n">
        <f aca="false">ROUND(B9/19.92,0)</f>
        <v>26</v>
      </c>
      <c r="G9" s="56" t="n">
        <f aca="false">IFERROR(MAX(0,1-(B9/C9)),1)</f>
        <v>0</v>
      </c>
      <c r="H9" s="48" t="n">
        <f aca="false">MAX(0,B9-(C9+E9))</f>
        <v>0</v>
      </c>
      <c r="I9" s="57" t="n">
        <f aca="false">H9*182</f>
        <v>0</v>
      </c>
      <c r="J9" s="49" t="str">
        <f aca="false">IF(B9&lt;D9,"🔴 CRITICAL – Below Safety Stock",IF(B9&lt;C9,"🟠 REORDER NOW",IF(H9&gt;0,"🟡 EXCESS STOCK","🟢 HEALTHY")))</f>
        <v>🟢 HEALTHY</v>
      </c>
      <c r="K9" s="58" t="str">
        <f aca="false">IF(B9&lt;D9,"Place emergency order immediately",IF(B9&lt;C9,"Place standard replenishment order",IF(H9&gt;0,"Review demand; consider promotion","No action needed")))</f>
        <v>No action needed</v>
      </c>
    </row>
    <row r="11" customFormat="false" ht="21.75" hidden="false" customHeight="true" outlineLevel="0" collapsed="false">
      <c r="A11" s="14" t="s">
        <v>88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customFormat="false" ht="19.5" hidden="false" customHeight="true" outlineLevel="0" collapsed="false">
      <c r="A12" s="25" t="s">
        <v>89</v>
      </c>
      <c r="B12" s="63" t="n">
        <f aca="false">COUNTIF(J5:J9,"*REORDER*")+COUNTIF(J5:J9,"*CRITICAL*")</f>
        <v>1</v>
      </c>
      <c r="E12" s="25" t="s">
        <v>90</v>
      </c>
      <c r="F12" s="63" t="n">
        <f aca="false">ROUND(AVERAGE(F5:F9),1)</f>
        <v>23.6</v>
      </c>
      <c r="I12" s="25" t="s">
        <v>91</v>
      </c>
      <c r="J12" s="64" t="n">
        <f aca="false">SUM(I5:I9)</f>
        <v>206100</v>
      </c>
    </row>
  </sheetData>
  <mergeCells count="3">
    <mergeCell ref="A1:L1"/>
    <mergeCell ref="A2:L2"/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6"/>
  </cols>
  <sheetData>
    <row r="1" customFormat="false" ht="31.5" hidden="false" customHeight="true" outlineLevel="0" collapsed="false">
      <c r="A1" s="2" t="s">
        <v>92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93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A4" s="22" t="s">
        <v>63</v>
      </c>
      <c r="B4" s="22" t="s">
        <v>94</v>
      </c>
      <c r="C4" s="22" t="s">
        <v>95</v>
      </c>
      <c r="D4" s="22" t="s">
        <v>96</v>
      </c>
      <c r="E4" s="22" t="s">
        <v>97</v>
      </c>
      <c r="F4" s="22" t="s">
        <v>98</v>
      </c>
      <c r="G4" s="22" t="s">
        <v>99</v>
      </c>
    </row>
    <row r="5" customFormat="false" ht="19.5" hidden="false" customHeight="true" outlineLevel="0" collapsed="false">
      <c r="A5" s="11" t="s">
        <v>17</v>
      </c>
      <c r="B5" s="65" t="n">
        <f aca="false">Demand_Forecast!Q11</f>
        <v>0</v>
      </c>
      <c r="C5" s="65" t="n">
        <f aca="false">Demand_Forecast!Q12</f>
        <v>0</v>
      </c>
      <c r="D5" s="65" t="n">
        <f aca="false">Demand_Forecast!Q13</f>
        <v>0</v>
      </c>
      <c r="E5" s="66" t="str">
        <f aca="false">IF(AND(B5&lt;=C5,B5&lt;=D5),"3-Month MA",IF(C5&lt;=D5,"6-Month MA","Exp Smoothing"))</f>
        <v>3-Month MA</v>
      </c>
      <c r="F5" s="67" t="n">
        <f aca="false">1-MIN(B5,C5,D5)</f>
        <v>1</v>
      </c>
      <c r="G5" s="49" t="str">
        <f aca="false">IF(F5&gt;=0.88,"✅ Yes","❌ Below Target")</f>
        <v>✅ Yes</v>
      </c>
    </row>
    <row r="6" customFormat="false" ht="19.5" hidden="false" customHeight="true" outlineLevel="0" collapsed="false">
      <c r="A6" s="7" t="s">
        <v>19</v>
      </c>
      <c r="B6" s="68" t="n">
        <f aca="false">Demand_Forecast!Q18</f>
        <v>0</v>
      </c>
      <c r="C6" s="68" t="n">
        <f aca="false">Demand_Forecast!Q19</f>
        <v>0</v>
      </c>
      <c r="D6" s="68" t="n">
        <f aca="false">Demand_Forecast!Q20</f>
        <v>0</v>
      </c>
      <c r="E6" s="69" t="str">
        <f aca="false">IF(AND(B6&lt;=C6,B6&lt;=D6),"3-Month MA",IF(C6&lt;=D6,"6-Month MA","Exp Smoothing"))</f>
        <v>3-Month MA</v>
      </c>
      <c r="F6" s="67" t="n">
        <f aca="false">1-MIN(B6,C6,D6)</f>
        <v>1</v>
      </c>
      <c r="G6" s="45" t="str">
        <f aca="false">IF(F6&gt;=0.88,"✅ Yes","❌ Below Target")</f>
        <v>✅ Yes</v>
      </c>
    </row>
    <row r="7" customFormat="false" ht="19.5" hidden="false" customHeight="true" outlineLevel="0" collapsed="false">
      <c r="A7" s="11" t="s">
        <v>21</v>
      </c>
      <c r="B7" s="65" t="n">
        <f aca="false">Demand_Forecast!Q25</f>
        <v>0</v>
      </c>
      <c r="C7" s="65" t="n">
        <f aca="false">Demand_Forecast!Q26</f>
        <v>0</v>
      </c>
      <c r="D7" s="65" t="n">
        <f aca="false">Demand_Forecast!Q27</f>
        <v>0</v>
      </c>
      <c r="E7" s="66" t="str">
        <f aca="false">IF(AND(B7&lt;=C7,B7&lt;=D7),"3-Month MA",IF(C7&lt;=D7,"6-Month MA","Exp Smoothing"))</f>
        <v>3-Month MA</v>
      </c>
      <c r="F7" s="67" t="n">
        <f aca="false">1-MIN(B7,C7,D7)</f>
        <v>1</v>
      </c>
      <c r="G7" s="49" t="str">
        <f aca="false">IF(F7&gt;=0.88,"✅ Yes","❌ Below Target")</f>
        <v>✅ Yes</v>
      </c>
    </row>
    <row r="8" customFormat="false" ht="19.5" hidden="false" customHeight="true" outlineLevel="0" collapsed="false">
      <c r="A8" s="7" t="s">
        <v>23</v>
      </c>
      <c r="B8" s="68" t="n">
        <f aca="false">Demand_Forecast!Q32</f>
        <v>0</v>
      </c>
      <c r="C8" s="68" t="n">
        <f aca="false">Demand_Forecast!Q33</f>
        <v>0</v>
      </c>
      <c r="D8" s="68" t="n">
        <f aca="false">Demand_Forecast!Q34</f>
        <v>0</v>
      </c>
      <c r="E8" s="69" t="str">
        <f aca="false">IF(AND(B8&lt;=C8,B8&lt;=D8),"3-Month MA",IF(C8&lt;=D8,"6-Month MA","Exp Smoothing"))</f>
        <v>3-Month MA</v>
      </c>
      <c r="F8" s="67" t="n">
        <f aca="false">1-MIN(B8,C8,D8)</f>
        <v>1</v>
      </c>
      <c r="G8" s="45" t="str">
        <f aca="false">IF(F8&gt;=0.88,"✅ Yes","❌ Below Target")</f>
        <v>✅ Yes</v>
      </c>
    </row>
    <row r="9" customFormat="false" ht="19.5" hidden="false" customHeight="true" outlineLevel="0" collapsed="false">
      <c r="A9" s="11" t="s">
        <v>25</v>
      </c>
      <c r="B9" s="65" t="n">
        <f aca="false">Demand_Forecast!Q39</f>
        <v>0</v>
      </c>
      <c r="C9" s="65" t="n">
        <f aca="false">Demand_Forecast!Q40</f>
        <v>0</v>
      </c>
      <c r="D9" s="65" t="n">
        <f aca="false">Demand_Forecast!Q41</f>
        <v>0</v>
      </c>
      <c r="E9" s="66" t="str">
        <f aca="false">IF(AND(B9&lt;=C9,B9&lt;=D9),"3-Month MA",IF(C9&lt;=D9,"6-Month MA","Exp Smoothing"))</f>
        <v>3-Month MA</v>
      </c>
      <c r="F9" s="67" t="n">
        <f aca="false">1-MIN(B9,C9,D9)</f>
        <v>1</v>
      </c>
      <c r="G9" s="49" t="str">
        <f aca="false">IF(F9&gt;=0.88,"✅ Yes","❌ Below Target")</f>
        <v>✅ Yes</v>
      </c>
    </row>
    <row r="10" customFormat="false" ht="21.75" hidden="false" customHeight="true" outlineLevel="0" collapsed="false">
      <c r="A10" s="50" t="s">
        <v>100</v>
      </c>
      <c r="B10" s="70" t="n">
        <f aca="false">AVERAGE(B5:B9)</f>
        <v>0</v>
      </c>
      <c r="C10" s="70" t="n">
        <f aca="false">AVERAGE(C5:C9)</f>
        <v>0</v>
      </c>
      <c r="D10" s="70" t="n">
        <f aca="false">AVERAGE(D5:D9)</f>
        <v>0</v>
      </c>
      <c r="E10" s="52" t="s">
        <v>29</v>
      </c>
      <c r="F10" s="70" t="n">
        <f aca="false">AVERAGE(F5:F9)</f>
        <v>1</v>
      </c>
      <c r="G10" s="52" t="s">
        <v>29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52"/>
    <col collapsed="false" customWidth="true" hidden="false" outlineLevel="0" max="4" min="4" style="1" width="5"/>
  </cols>
  <sheetData>
    <row r="1" customFormat="false" ht="31.5" hidden="false" customHeight="true" outlineLevel="0" collapsed="false">
      <c r="A1" s="2" t="s">
        <v>101</v>
      </c>
      <c r="B1" s="2"/>
      <c r="C1" s="2"/>
      <c r="D1" s="2"/>
    </row>
    <row r="3" customFormat="false" ht="19.5" hidden="false" customHeight="true" outlineLevel="0" collapsed="false">
      <c r="A3" s="71" t="s">
        <v>102</v>
      </c>
      <c r="B3" s="71"/>
      <c r="C3" s="71"/>
      <c r="D3" s="71"/>
    </row>
    <row r="4" customFormat="false" ht="19.5" hidden="false" customHeight="true" outlineLevel="0" collapsed="false">
      <c r="B4" s="72" t="s">
        <v>103</v>
      </c>
      <c r="C4" s="73" t="s">
        <v>104</v>
      </c>
    </row>
    <row r="5" customFormat="false" ht="19.5" hidden="false" customHeight="true" outlineLevel="0" collapsed="false">
      <c r="B5" s="11" t="s">
        <v>105</v>
      </c>
      <c r="C5" s="74" t="s">
        <v>106</v>
      </c>
    </row>
    <row r="6" customFormat="false" ht="19.5" hidden="false" customHeight="true" outlineLevel="0" collapsed="false">
      <c r="B6" s="75" t="s">
        <v>107</v>
      </c>
      <c r="C6" s="73" t="s">
        <v>108</v>
      </c>
    </row>
    <row r="7" customFormat="false" ht="19.5" hidden="false" customHeight="true" outlineLevel="0" collapsed="false">
      <c r="B7" s="11" t="s">
        <v>109</v>
      </c>
      <c r="C7" s="74" t="s">
        <v>110</v>
      </c>
    </row>
    <row r="8" customFormat="false" ht="19.5" hidden="false" customHeight="true" outlineLevel="0" collapsed="false">
      <c r="B8" s="76" t="s">
        <v>111</v>
      </c>
      <c r="C8" s="73" t="s">
        <v>112</v>
      </c>
    </row>
    <row r="9" customFormat="false" ht="19.5" hidden="false" customHeight="true" outlineLevel="0" collapsed="false">
      <c r="B9" s="77" t="s">
        <v>113</v>
      </c>
      <c r="C9" s="74" t="s">
        <v>114</v>
      </c>
    </row>
    <row r="10" customFormat="false" ht="19.5" hidden="false" customHeight="true" outlineLevel="0" collapsed="false">
      <c r="B10" s="78" t="s">
        <v>115</v>
      </c>
      <c r="C10" s="73" t="s">
        <v>116</v>
      </c>
    </row>
    <row r="11" customFormat="false" ht="19.5" hidden="false" customHeight="true" outlineLevel="0" collapsed="false">
      <c r="B11" s="79" t="s">
        <v>117</v>
      </c>
      <c r="C11" s="74" t="s">
        <v>118</v>
      </c>
    </row>
    <row r="12" customFormat="false" ht="19.5" hidden="false" customHeight="true" outlineLevel="0" collapsed="false">
      <c r="A12" s="71" t="s">
        <v>119</v>
      </c>
      <c r="B12" s="71"/>
      <c r="C12" s="71"/>
      <c r="D12" s="71"/>
    </row>
    <row r="13" customFormat="false" ht="19.5" hidden="false" customHeight="true" outlineLevel="0" collapsed="false">
      <c r="B13" s="11" t="s">
        <v>120</v>
      </c>
      <c r="C13" s="74" t="s">
        <v>121</v>
      </c>
    </row>
    <row r="14" customFormat="false" ht="19.5" hidden="false" customHeight="true" outlineLevel="0" collapsed="false">
      <c r="B14" s="19" t="s">
        <v>122</v>
      </c>
      <c r="C14" s="73" t="s">
        <v>123</v>
      </c>
    </row>
    <row r="15" customFormat="false" ht="19.5" hidden="false" customHeight="true" outlineLevel="0" collapsed="false">
      <c r="B15" s="11" t="s">
        <v>124</v>
      </c>
      <c r="C15" s="74" t="s">
        <v>125</v>
      </c>
    </row>
    <row r="16" customFormat="false" ht="19.5" hidden="false" customHeight="true" outlineLevel="0" collapsed="false">
      <c r="B16" s="19" t="s">
        <v>126</v>
      </c>
      <c r="C16" s="73" t="s">
        <v>127</v>
      </c>
    </row>
    <row r="17" customFormat="false" ht="19.5" hidden="false" customHeight="true" outlineLevel="0" collapsed="false">
      <c r="B17" s="11" t="s">
        <v>128</v>
      </c>
      <c r="C17" s="74" t="s">
        <v>129</v>
      </c>
    </row>
    <row r="18" customFormat="false" ht="19.5" hidden="false" customHeight="true" outlineLevel="0" collapsed="false">
      <c r="A18" s="71" t="s">
        <v>130</v>
      </c>
      <c r="B18" s="71"/>
      <c r="C18" s="71"/>
      <c r="D18" s="71"/>
    </row>
    <row r="19" customFormat="false" ht="19.5" hidden="false" customHeight="true" outlineLevel="0" collapsed="false">
      <c r="B19" s="11" t="s">
        <v>131</v>
      </c>
      <c r="C19" s="80" t="s">
        <v>132</v>
      </c>
    </row>
    <row r="20" customFormat="false" ht="19.5" hidden="false" customHeight="true" outlineLevel="0" collapsed="false">
      <c r="B20" s="19" t="s">
        <v>133</v>
      </c>
      <c r="C20" s="81" t="s">
        <v>134</v>
      </c>
    </row>
    <row r="21" customFormat="false" ht="19.5" hidden="false" customHeight="true" outlineLevel="0" collapsed="false">
      <c r="B21" s="11" t="s">
        <v>135</v>
      </c>
      <c r="C21" s="80" t="s">
        <v>136</v>
      </c>
    </row>
    <row r="22" customFormat="false" ht="19.5" hidden="false" customHeight="true" outlineLevel="0" collapsed="false">
      <c r="B22" s="19" t="s">
        <v>137</v>
      </c>
      <c r="C22" s="73" t="s">
        <v>138</v>
      </c>
    </row>
    <row r="23" customFormat="false" ht="19.5" hidden="false" customHeight="true" outlineLevel="0" collapsed="false">
      <c r="B23" s="11" t="s">
        <v>46</v>
      </c>
      <c r="C23" s="80" t="s">
        <v>139</v>
      </c>
    </row>
    <row r="24" customFormat="false" ht="19.5" hidden="false" customHeight="true" outlineLevel="0" collapsed="false">
      <c r="B24" s="19" t="s">
        <v>140</v>
      </c>
      <c r="C24" s="81" t="s">
        <v>141</v>
      </c>
    </row>
  </sheetData>
  <mergeCells count="4">
    <mergeCell ref="A1:D1"/>
    <mergeCell ref="A3:D3"/>
    <mergeCell ref="A12:D1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2026-02-23T06:00:04Z</dcterms:created>
  <dc:creator>openpyxl</dc:creator>
  <dc:description/>
  <dc:language>en-US</dc:language>
  <cp:lastModifiedBy/>
  <dcterms:modified xsi:type="dcterms:W3CDTF">2026-02-23T06:00:50Z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